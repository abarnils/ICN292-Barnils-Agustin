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wass\Downloads\"/>
    </mc:Choice>
  </mc:AlternateContent>
  <xr:revisionPtr revIDLastSave="0" documentId="13_ncr:1_{CA12C034-CA7D-4212-9012-F0BFB491B66E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Parametros" sheetId="1" r:id="rId1"/>
    <sheet name="Trazas" sheetId="2" r:id="rId2"/>
    <sheet name="Problemas" sheetId="3" r:id="rId3"/>
    <sheet name="Parte C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9" i="2" l="1"/>
  <c r="E29" i="2"/>
  <c r="D29" i="2"/>
  <c r="F29" i="2" s="1"/>
  <c r="G28" i="2"/>
  <c r="E28" i="2"/>
  <c r="D28" i="2"/>
  <c r="F28" i="2" s="1"/>
  <c r="G27" i="2"/>
  <c r="E27" i="2"/>
  <c r="D27" i="2"/>
  <c r="F27" i="2" s="1"/>
  <c r="G26" i="2"/>
  <c r="E26" i="2"/>
  <c r="D26" i="2"/>
  <c r="F26" i="2" s="1"/>
  <c r="G25" i="2"/>
  <c r="E25" i="2"/>
  <c r="D25" i="2"/>
  <c r="F25" i="2" s="1"/>
  <c r="G24" i="2"/>
  <c r="E24" i="2"/>
  <c r="F24" i="2" s="1"/>
  <c r="D24" i="2"/>
  <c r="G23" i="2"/>
  <c r="E23" i="2"/>
  <c r="D23" i="2"/>
  <c r="F23" i="2" s="1"/>
  <c r="G22" i="2"/>
  <c r="E22" i="2"/>
  <c r="D22" i="2"/>
  <c r="F22" i="2" s="1"/>
  <c r="G21" i="2"/>
  <c r="E21" i="2"/>
  <c r="D21" i="2"/>
  <c r="F21" i="2" s="1"/>
  <c r="G20" i="2"/>
  <c r="E20" i="2"/>
  <c r="D20" i="2"/>
  <c r="F20" i="2" s="1"/>
  <c r="G19" i="2"/>
  <c r="E19" i="2"/>
  <c r="D19" i="2"/>
  <c r="F19" i="2" s="1"/>
  <c r="G18" i="2"/>
  <c r="E18" i="2"/>
  <c r="D18" i="2"/>
  <c r="F18" i="2" s="1"/>
  <c r="G17" i="2"/>
  <c r="E17" i="2"/>
  <c r="D17" i="2"/>
  <c r="F17" i="2" s="1"/>
  <c r="G16" i="2"/>
  <c r="E16" i="2"/>
  <c r="D16" i="2"/>
  <c r="F16" i="2" s="1"/>
  <c r="G15" i="2"/>
  <c r="F15" i="2"/>
  <c r="E15" i="2"/>
  <c r="D15" i="2"/>
  <c r="G14" i="2"/>
  <c r="E14" i="2"/>
  <c r="D14" i="2"/>
  <c r="F14" i="2" s="1"/>
  <c r="G13" i="2"/>
  <c r="E13" i="2"/>
  <c r="D13" i="2"/>
  <c r="F13" i="2" s="1"/>
  <c r="G12" i="2"/>
  <c r="E12" i="2"/>
  <c r="D12" i="2"/>
  <c r="F12" i="2" s="1"/>
  <c r="G11" i="2"/>
  <c r="E11" i="2"/>
  <c r="D11" i="2"/>
  <c r="F11" i="2" s="1"/>
  <c r="G10" i="2"/>
  <c r="E10" i="2"/>
  <c r="D10" i="2"/>
  <c r="F10" i="2" s="1"/>
  <c r="G9" i="2"/>
  <c r="E9" i="2"/>
  <c r="D9" i="2"/>
  <c r="F9" i="2" s="1"/>
  <c r="G8" i="2"/>
  <c r="E8" i="2"/>
  <c r="D8" i="2"/>
  <c r="F8" i="2" s="1"/>
  <c r="G7" i="2"/>
  <c r="E7" i="2"/>
  <c r="D7" i="2"/>
  <c r="F7" i="2" s="1"/>
  <c r="G6" i="2"/>
  <c r="E6" i="2"/>
  <c r="D6" i="2"/>
  <c r="F6" i="2" s="1"/>
  <c r="G5" i="2"/>
  <c r="E5" i="2"/>
  <c r="D5" i="2"/>
  <c r="F5" i="2" s="1"/>
  <c r="G4" i="2"/>
  <c r="G30" i="2" s="1"/>
  <c r="E4" i="2"/>
  <c r="E30" i="2" s="1"/>
  <c r="D4" i="2"/>
  <c r="B78" i="1"/>
  <c r="B77" i="1"/>
  <c r="B73" i="1"/>
  <c r="B68" i="1"/>
  <c r="B10" i="1"/>
  <c r="B9" i="1"/>
  <c r="B8" i="1"/>
  <c r="B7" i="1"/>
  <c r="B6" i="1"/>
  <c r="B70" i="1" s="1"/>
  <c r="B71" i="1" s="1"/>
  <c r="G33" i="4"/>
  <c r="E33" i="4"/>
  <c r="D33" i="4"/>
  <c r="F33" i="4" s="1"/>
  <c r="G32" i="4"/>
  <c r="E32" i="4"/>
  <c r="D32" i="4"/>
  <c r="F32" i="4" s="1"/>
  <c r="G31" i="4"/>
  <c r="E31" i="4"/>
  <c r="D31" i="4"/>
  <c r="F31" i="4" s="1"/>
  <c r="G30" i="4"/>
  <c r="E30" i="4"/>
  <c r="D30" i="4"/>
  <c r="F30" i="4" s="1"/>
  <c r="G29" i="4"/>
  <c r="E29" i="4"/>
  <c r="D29" i="4"/>
  <c r="F29" i="4" s="1"/>
  <c r="G28" i="4"/>
  <c r="E28" i="4"/>
  <c r="D28" i="4"/>
  <c r="F28" i="4" s="1"/>
  <c r="G27" i="4"/>
  <c r="E27" i="4"/>
  <c r="D27" i="4"/>
  <c r="F27" i="4" s="1"/>
  <c r="G26" i="4"/>
  <c r="E26" i="4"/>
  <c r="D26" i="4"/>
  <c r="F26" i="4" s="1"/>
  <c r="G25" i="4"/>
  <c r="E25" i="4"/>
  <c r="D25" i="4"/>
  <c r="F25" i="4" s="1"/>
  <c r="G24" i="4"/>
  <c r="E24" i="4"/>
  <c r="D24" i="4"/>
  <c r="F24" i="4" s="1"/>
  <c r="G23" i="4"/>
  <c r="E23" i="4"/>
  <c r="D23" i="4"/>
  <c r="F23" i="4" s="1"/>
  <c r="G22" i="4"/>
  <c r="E22" i="4"/>
  <c r="D22" i="4"/>
  <c r="F22" i="4" s="1"/>
  <c r="G21" i="4"/>
  <c r="E21" i="4"/>
  <c r="D21" i="4"/>
  <c r="F21" i="4" s="1"/>
  <c r="G20" i="4"/>
  <c r="G34" i="4" s="1"/>
  <c r="E20" i="4"/>
  <c r="E34" i="4" s="1"/>
  <c r="D20" i="4"/>
  <c r="G8" i="4"/>
  <c r="F8" i="4"/>
  <c r="D30" i="2" l="1"/>
  <c r="F4" i="2"/>
  <c r="F30" i="2" s="1"/>
  <c r="B69" i="1"/>
  <c r="C5" i="2"/>
  <c r="B74" i="1"/>
  <c r="B75" i="1"/>
  <c r="B76" i="1"/>
  <c r="C21" i="4"/>
  <c r="C33" i="4"/>
  <c r="B72" i="1"/>
  <c r="F20" i="4"/>
  <c r="F34" i="4" s="1"/>
  <c r="D34" i="4"/>
  <c r="C19" i="3" l="1"/>
  <c r="C20" i="4"/>
  <c r="C4" i="2"/>
  <c r="C20" i="3"/>
  <c r="H5" i="2"/>
  <c r="I5" i="2"/>
  <c r="J5" i="2"/>
  <c r="H21" i="4"/>
  <c r="I21" i="4"/>
  <c r="J21" i="4"/>
  <c r="H33" i="4"/>
  <c r="I33" i="4"/>
  <c r="J33" i="4"/>
  <c r="C22" i="4"/>
  <c r="C25" i="4"/>
  <c r="C26" i="4"/>
  <c r="C23" i="4"/>
  <c r="C24" i="4"/>
  <c r="C19" i="2"/>
  <c r="C18" i="2"/>
  <c r="C24" i="2"/>
  <c r="C31" i="4"/>
  <c r="C28" i="4"/>
  <c r="C25" i="2"/>
  <c r="C29" i="4"/>
  <c r="C26" i="2"/>
  <c r="C21" i="2"/>
  <c r="C20" i="2"/>
  <c r="C32" i="4"/>
  <c r="C27" i="2"/>
  <c r="C29" i="2"/>
  <c r="C22" i="2"/>
  <c r="C23" i="2"/>
  <c r="C30" i="4"/>
  <c r="C28" i="2"/>
  <c r="C16" i="2"/>
  <c r="C8" i="2"/>
  <c r="C6" i="2"/>
  <c r="C14" i="2"/>
  <c r="C17" i="2"/>
  <c r="C15" i="2"/>
  <c r="C12" i="2"/>
  <c r="C11" i="2"/>
  <c r="C27" i="4"/>
  <c r="C7" i="2"/>
  <c r="C9" i="2"/>
  <c r="C13" i="2"/>
  <c r="C10" i="2"/>
  <c r="I20" i="4" l="1"/>
  <c r="J20" i="4"/>
  <c r="C34" i="4"/>
  <c r="H20" i="4"/>
  <c r="H4" i="2"/>
  <c r="I4" i="2"/>
  <c r="J4" i="2"/>
  <c r="C30" i="2"/>
  <c r="I22" i="4"/>
  <c r="J22" i="4"/>
  <c r="H22" i="4"/>
  <c r="H25" i="4"/>
  <c r="I25" i="4"/>
  <c r="J25" i="4"/>
  <c r="H26" i="4"/>
  <c r="I26" i="4"/>
  <c r="J26" i="4"/>
  <c r="H23" i="4"/>
  <c r="I23" i="4"/>
  <c r="J23" i="4"/>
  <c r="H24" i="4"/>
  <c r="I24" i="4"/>
  <c r="J24" i="4"/>
  <c r="J19" i="2"/>
  <c r="I19" i="2"/>
  <c r="H19" i="2"/>
  <c r="J18" i="2"/>
  <c r="I18" i="2"/>
  <c r="H18" i="2"/>
  <c r="J24" i="2"/>
  <c r="I24" i="2"/>
  <c r="H24" i="2"/>
  <c r="J31" i="4"/>
  <c r="I31" i="4"/>
  <c r="H31" i="4"/>
  <c r="J28" i="4"/>
  <c r="I28" i="4"/>
  <c r="H28" i="4"/>
  <c r="J25" i="2"/>
  <c r="I25" i="2"/>
  <c r="H25" i="2"/>
  <c r="J29" i="4"/>
  <c r="I29" i="4"/>
  <c r="H29" i="4"/>
  <c r="J26" i="2"/>
  <c r="I26" i="2"/>
  <c r="H26" i="2"/>
  <c r="J21" i="2"/>
  <c r="I21" i="2"/>
  <c r="H21" i="2"/>
  <c r="J20" i="2"/>
  <c r="I20" i="2"/>
  <c r="H20" i="2"/>
  <c r="J32" i="4"/>
  <c r="I32" i="4"/>
  <c r="H32" i="4"/>
  <c r="J27" i="2"/>
  <c r="I27" i="2"/>
  <c r="H27" i="2"/>
  <c r="J29" i="2"/>
  <c r="H29" i="2"/>
  <c r="I29" i="2"/>
  <c r="J22" i="2"/>
  <c r="I22" i="2"/>
  <c r="H22" i="2"/>
  <c r="J23" i="2"/>
  <c r="I23" i="2"/>
  <c r="H23" i="2"/>
  <c r="J30" i="4"/>
  <c r="I30" i="4"/>
  <c r="H30" i="4"/>
  <c r="I28" i="2"/>
  <c r="J28" i="2"/>
  <c r="H28" i="2"/>
  <c r="J16" i="2"/>
  <c r="I16" i="2"/>
  <c r="H16" i="2"/>
  <c r="H8" i="2"/>
  <c r="J8" i="2"/>
  <c r="I8" i="2"/>
  <c r="F5" i="4"/>
  <c r="J6" i="2"/>
  <c r="I6" i="2"/>
  <c r="H6" i="2"/>
  <c r="F6" i="4"/>
  <c r="E6" i="3"/>
  <c r="G5" i="4" s="1"/>
  <c r="C21" i="3"/>
  <c r="D5" i="3"/>
  <c r="D6" i="3"/>
  <c r="C22" i="3"/>
  <c r="E4" i="3"/>
  <c r="G4" i="4" s="1"/>
  <c r="D4" i="3"/>
  <c r="F4" i="4" s="1"/>
  <c r="J14" i="2"/>
  <c r="I14" i="2"/>
  <c r="H14" i="2"/>
  <c r="J17" i="2"/>
  <c r="H17" i="2"/>
  <c r="I17" i="2"/>
  <c r="I15" i="2"/>
  <c r="H15" i="2"/>
  <c r="J15" i="2"/>
  <c r="J12" i="2"/>
  <c r="I12" i="2"/>
  <c r="H12" i="2"/>
  <c r="C23" i="3"/>
  <c r="J11" i="2"/>
  <c r="I11" i="2"/>
  <c r="H11" i="2"/>
  <c r="J27" i="4"/>
  <c r="I27" i="4"/>
  <c r="H27" i="4"/>
  <c r="J7" i="2"/>
  <c r="I7" i="2"/>
  <c r="H7" i="2"/>
  <c r="J9" i="2"/>
  <c r="I9" i="2"/>
  <c r="H9" i="2"/>
  <c r="J13" i="2"/>
  <c r="I13" i="2"/>
  <c r="H13" i="2"/>
  <c r="J10" i="2"/>
  <c r="I10" i="2"/>
  <c r="H10" i="2"/>
  <c r="I34" i="4" l="1"/>
  <c r="J34" i="4"/>
  <c r="H34" i="4"/>
  <c r="H30" i="2"/>
  <c r="C9" i="3" s="1"/>
  <c r="J30" i="2"/>
  <c r="C12" i="3" s="1"/>
  <c r="I30" i="2"/>
  <c r="C15" i="3" s="1"/>
  <c r="D43" i="4" l="1"/>
  <c r="D42" i="4"/>
  <c r="D40" i="4"/>
  <c r="D41" i="4"/>
  <c r="E41" i="4" s="1"/>
  <c r="D38" i="4"/>
  <c r="E38" i="4"/>
  <c r="D39" i="4"/>
  <c r="C38" i="4"/>
  <c r="C10" i="3"/>
  <c r="C39" i="4" s="1"/>
  <c r="C40" i="4"/>
  <c r="E40" i="4" s="1"/>
  <c r="C13" i="3"/>
  <c r="C41" i="4" s="1"/>
  <c r="E42" i="4"/>
  <c r="C42" i="4"/>
  <c r="C16" i="3"/>
  <c r="E43" i="4" l="1"/>
  <c r="C43" i="4"/>
  <c r="E39" i="4"/>
</calcChain>
</file>

<file path=xl/sharedStrings.xml><?xml version="1.0" encoding="utf-8"?>
<sst xmlns="http://schemas.openxmlformats.org/spreadsheetml/2006/main" count="370" uniqueCount="216">
  <si>
    <t>Semilla y parametros (S=205)</t>
  </si>
  <si>
    <t>S</t>
  </si>
  <si>
    <t>U - Umbral aprobacion gerencial (CLP)</t>
  </si>
  <si>
    <t>D - Plazo de devolucion (dias)</t>
  </si>
  <si>
    <t>d - Tasa de productos dañados</t>
  </si>
  <si>
    <t>V - Volumen mensual (solicitudes)</t>
  </si>
  <si>
    <t>Retiro en tienda (1=si,0=no)</t>
  </si>
  <si>
    <t>Distribucion: dias entre compra y solicitud</t>
  </si>
  <si>
    <t>Tramo (dias)</t>
  </si>
  <si>
    <t>%</t>
  </si>
  <si>
    <t>0 a 5  (dentro de D)</t>
  </si>
  <si>
    <t>6 a 10 (dentro de D)</t>
  </si>
  <si>
    <t>11 a 15 (dentro de D, limite exacto)</t>
  </si>
  <si>
    <t>16 a 20 (fuera de D)</t>
  </si>
  <si>
    <t>21 a 30 (fuera de D)</t>
  </si>
  <si>
    <t>Distribucion: monto de la boleta</t>
  </si>
  <si>
    <t>Tramo (CLP)</t>
  </si>
  <si>
    <t>20.000 a 60.000 (U cae aqui)</t>
  </si>
  <si>
    <t>limite inferior tramo 1</t>
  </si>
  <si>
    <t>limite superior tramo 1</t>
  </si>
  <si>
    <t>60.000 a 100.000</t>
  </si>
  <si>
    <t>100.000 a 150.000</t>
  </si>
  <si>
    <t>150.000 a 250.000</t>
  </si>
  <si>
    <t>250.000 a 400.000</t>
  </si>
  <si>
    <t>Otras probabilidades (dadas en el enunciado)</t>
  </si>
  <si>
    <t>% rechazo de gerencia (de los que llegan)</t>
  </si>
  <si>
    <t>% reparable (de los productos dañados)</t>
  </si>
  <si>
    <t>% reproceso por discrepancia (de admisibles que llegan a Finanzas)</t>
  </si>
  <si>
    <t>Supuestos de calculo (sin dato empirico en el enunciado)</t>
  </si>
  <si>
    <t>% retiro en tienda vs courier (SUPUESTO: 50/50)</t>
  </si>
  <si>
    <t>Tarifas (CLP/hora) y costos fijos</t>
  </si>
  <si>
    <t>Ejecutivo N1</t>
  </si>
  <si>
    <t>Supervisor</t>
  </si>
  <si>
    <t>Operario de bodega</t>
  </si>
  <si>
    <t>Gerente Comercial</t>
  </si>
  <si>
    <t>Analista de Finanzas</t>
  </si>
  <si>
    <t>Tecnico de taller</t>
  </si>
  <si>
    <t>Andesexpress (CLP por retiro, solo courier)</t>
  </si>
  <si>
    <t>Comision pasarela (CLP por transaccion)</t>
  </si>
  <si>
    <t>Tiempos por actividad (tabla de datos operacionales)</t>
  </si>
  <si>
    <t>Actividad</t>
  </si>
  <si>
    <t>Trabajo (min)</t>
  </si>
  <si>
    <t>Espera (h)</t>
  </si>
  <si>
    <t>Registrar la solicitud</t>
  </si>
  <si>
    <t>Verificar boleta y plazo</t>
  </si>
  <si>
    <t>Pedir fotos al cliente</t>
  </si>
  <si>
    <t>Solicitar aprobacion gerencial</t>
  </si>
  <si>
    <t>Resolver la aprobacion</t>
  </si>
  <si>
    <t>Revisar y autorizar (Rodrigo)</t>
  </si>
  <si>
    <t>Agendar el retiro</t>
  </si>
  <si>
    <t>Traslado del courier</t>
  </si>
  <si>
    <t>Zona de pendientes</t>
  </si>
  <si>
    <t>Inspeccionar (ficha de papel)</t>
  </si>
  <si>
    <t>Digitar en WMS y avisar</t>
  </si>
  <si>
    <t>Revalidar en Finanzas</t>
  </si>
  <si>
    <t>Emitir el reembolso (lote)</t>
  </si>
  <si>
    <t>Reacondicionar en taller</t>
  </si>
  <si>
    <t>Reproceso (Camila 22min + Sebastian 15min)</t>
  </si>
  <si>
    <t>Probabilidades derivadas (formulas sobre los parametros)</t>
  </si>
  <si>
    <t>P(admisible) = dentro de D dias</t>
  </si>
  <si>
    <t>P(rechazo por plazo)</t>
  </si>
  <si>
    <t>Fraccion del tramo 1 por sobre U</t>
  </si>
  <si>
    <t>P(monto &gt; U)</t>
  </si>
  <si>
    <t>P(monto &lt;= U)</t>
  </si>
  <si>
    <t>P(gerencia aprueba | llega a gerencia)</t>
  </si>
  <si>
    <t>P(sin daño)</t>
  </si>
  <si>
    <t>P(reparable)</t>
  </si>
  <si>
    <t>P(se da de baja)</t>
  </si>
  <si>
    <t>P(sin reproceso)</t>
  </si>
  <si>
    <t>P(retiro por courier)</t>
  </si>
  <si>
    <t>#</t>
  </si>
  <si>
    <t>Traza (camino en el AS-IS)</t>
  </si>
  <si>
    <t>P(traza)</t>
  </si>
  <si>
    <t>Ciclo (h)</t>
  </si>
  <si>
    <t>Costo (CLP)</t>
  </si>
  <si>
    <t>P x Ciclo</t>
  </si>
  <si>
    <t>P x Costo</t>
  </si>
  <si>
    <t>P x Trabajo(min)</t>
  </si>
  <si>
    <t>Retiro</t>
  </si>
  <si>
    <t>Daño</t>
  </si>
  <si>
    <t>Reproceso</t>
  </si>
  <si>
    <t>Termino</t>
  </si>
  <si>
    <t>Rechazo por plazo (fuera de los D=15 dias)</t>
  </si>
  <si>
    <t>rechazo por plazo</t>
  </si>
  <si>
    <t xml:space="preserve"> Rechazo por gerencia (monto&gt;U y gerencia rechaza 8%)</t>
  </si>
  <si>
    <t>rechazo desde gerencia</t>
  </si>
  <si>
    <t>Exito | monto&lt;=U | retiro en tienda | sin daño | sin reproceso</t>
  </si>
  <si>
    <t>tienda</t>
  </si>
  <si>
    <t>sin daño</t>
  </si>
  <si>
    <t>no</t>
  </si>
  <si>
    <t>exito</t>
  </si>
  <si>
    <t>Exito | monto&lt;=U | retiro en tienda | sin daño | con reproceso (discrepancia 3 sistemas)</t>
  </si>
  <si>
    <t>si</t>
  </si>
  <si>
    <t>Exito | monto&lt;=U | retiro en tienda | reparable (va a taller) | sin reproceso</t>
  </si>
  <si>
    <t>reparable</t>
  </si>
  <si>
    <t>Exito | monto&lt;=U | retiro en tienda | reparable (va a taller) | con reproceso (discrepancia 3 sistemas)</t>
  </si>
  <si>
    <t>Exito | monto&lt;=U | retiro en tienda | se da de baja | sin reproceso</t>
  </si>
  <si>
    <t>baja</t>
  </si>
  <si>
    <t>Exito | monto&lt;=U | retiro en tienda | se da de baja | con reproceso (discrepancia 3 sistemas)</t>
  </si>
  <si>
    <t>Exito | monto&lt;=U | courier (Andesexpress) | sin daño | sin reproceso</t>
  </si>
  <si>
    <t>courier</t>
  </si>
  <si>
    <t>Exito | monto&lt;=U | courier (Andesexpress) | sin daño | con reproceso (discrepancia 3 sistemas)</t>
  </si>
  <si>
    <t>Exito | monto&lt;=U | courier (Andesexpress) | reparable (va a taller) | sin reproceso</t>
  </si>
  <si>
    <t>Exito | monto&lt;=U | courier (Andesexpress) | reparable (va a taller) | con reproceso (discrepancia 3 sistemas)</t>
  </si>
  <si>
    <t>Exito | monto&lt;=U | courier (Andesexpress) | se da de baja | sin reproceso</t>
  </si>
  <si>
    <t>Exito | monto&lt;=U | courier (Andesexpress) | se da de baja | con reproceso (discrepancia 3 sistemas)</t>
  </si>
  <si>
    <t>Exito | monto&gt;U y gerencia aprueba | retiro en tienda | sin daño | sin reproceso</t>
  </si>
  <si>
    <t>Exito | monto&gt;U y gerencia aprueba | retiro en tienda | sin daño | con reproceso (discrepancia 3 sistemas)</t>
  </si>
  <si>
    <t>Exito | monto&gt;U y gerencia aprueba | retiro en tienda | reparable (va a taller) | sin reproceso</t>
  </si>
  <si>
    <t>Exito | monto&gt;U y gerencia aprueba | retiro en tienda | reparable (va a taller) | con reproceso (discrepancia 3 sistemas)</t>
  </si>
  <si>
    <t>Exito | monto&gt;U y gerencia aprueba | retiro en tienda | se da de baja | sin reproceso</t>
  </si>
  <si>
    <t>Exito | monto&gt;U y gerencia aprueba | retiro en tienda | se da de baja | con reproceso (discrepancia 3 sistemas)</t>
  </si>
  <si>
    <t>Exito | monto&gt;U y gerencia aprueba | courier (Andesexpress) | sin daño | sin reproceso</t>
  </si>
  <si>
    <t>Exito | monto&gt;U y gerencia aprueba | courier (Andesexpress) | sin daño | con reproceso (discrepancia 3 sistemas)</t>
  </si>
  <si>
    <t>Exito | monto&gt;U y gerencia aprueba | courier (Andesexpress) | reparable (va a taller) | sin reproceso</t>
  </si>
  <si>
    <t>Exito | monto&gt;U y gerencia aprueba | courier (Andesexpress) | reparable (va a taller) | con reproceso (discrepancia 3 sistemas)</t>
  </si>
  <si>
    <t>Exito | monto&gt;U y gerencia aprueba | courier (Andesexpress) | se da de baja | sin reproceso</t>
  </si>
  <si>
    <t>Exito | monto&gt;U y gerencia aprueba | courier (Andesexpress) | se da de baja | con reproceso (discrepancia 3 sistemas)</t>
  </si>
  <si>
    <t>TOTAL / PROMEDIO PONDERADO</t>
  </si>
  <si>
    <t xml:space="preserve"> </t>
  </si>
  <si>
    <t>Problema (tipo)</t>
  </si>
  <si>
    <t>Evidencia en el AS-IS</t>
  </si>
  <si>
    <t>Impacto (horas)</t>
  </si>
  <si>
    <t>Impacto (CLP/mes)</t>
  </si>
  <si>
    <t>Control redundante: Rodrigo revalida boleta/plazo que Camila ya verifico</t>
  </si>
  <si>
    <t>Tareas "Verificar boleta y plazo" (Camila) y "Revisar y autorizar" (Rodrigo) en el AS-IS, lane Atencion al cliente</t>
  </si>
  <si>
    <t>Decision tardia: Rodrigo agrupa las revisiones en 2 tandas al dia (loteo)</t>
  </si>
  <si>
    <t>Espera de 6h asociada a "Revisar y autorizar" (Rodrigo), lane Atencion al cliente</t>
  </si>
  <si>
    <t>(no aplica costo directo, es espera que genera horas de ciclo)</t>
  </si>
  <si>
    <t>Traspaso manual y reproceso entre 3 sistemas desconectados (planilla, WMS, Finanzas)</t>
  </si>
  <si>
    <t>Cadena "Digitar en WMS y avisar" luego "Revalidar en Finanzas" (Sebastian revalida lo de Camila/Rodrigo); 9% de discrepancia obliga reproceso</t>
  </si>
  <si>
    <t>(i) Tiempo de ciclo</t>
  </si>
  <si>
    <t>Tiempo de ciclo promedio ponderado por probabilidad</t>
  </si>
  <si>
    <t>Tiempo de ciclo promedio ponderado por probabilidad en dias</t>
  </si>
  <si>
    <t>(ii) Indice de eficiencia del ciclo</t>
  </si>
  <si>
    <t>Tiempo de trabajo promedio ponderado (h)</t>
  </si>
  <si>
    <t>Indice de eficiencia del ciclo (trabajo/ciclo)</t>
  </si>
  <si>
    <t>(iii) Costo del proceso</t>
  </si>
  <si>
    <t>Costo esperado por solicitud recibida (CLP)</t>
  </si>
  <si>
    <t>Costo mensual del proceso (CLP)</t>
  </si>
  <si>
    <t>(iv) Volumen mensual por rama (de V=215 solicitudes)</t>
  </si>
  <si>
    <t>Rama</t>
  </si>
  <si>
    <t>Solicitudes/mes</t>
  </si>
  <si>
    <t>Rechazadas por plazo (&gt;D dias)</t>
  </si>
  <si>
    <t>Rechazadas por gerencia</t>
  </si>
  <si>
    <t>Completan el proceso (llegan a reembolso)</t>
  </si>
  <si>
    <t>Por retiro en tienda</t>
  </si>
  <si>
    <t>Por courier (Andesexpress)</t>
  </si>
  <si>
    <t>Cambios TO-BE vs AS-IS (Parte C)</t>
  </si>
  <si>
    <t>Cambio (que cambia respecto al AS-IS)</t>
  </si>
  <si>
    <t>Principio que lo respalda</t>
  </si>
  <si>
    <t>Clasificacion</t>
  </si>
  <si>
    <t>Defensa de la clasificacion</t>
  </si>
  <si>
    <t>Mejora: horas de ciclo/mes</t>
  </si>
  <si>
    <t>Mejora: CLP/mes</t>
  </si>
  <si>
    <t>Se elimina el paso "Revisar y autorizar" de Rodrigo. Camila queda con autoridad para agendar el retiro directamente (si monto&lt;=U, o apenas gerencia aprueba).</t>
  </si>
  <si>
    <t>Reingenieria</t>
  </si>
  <si>
    <t>Reingenieria segun la definicion del curso: no se acelera el control, se elimina porque el flujo no deberia existir. Desaparece un paso completo y cambia quien decide (de Rodrigo a Camila): cambia la forma del proceso, no solo su velocidad.</t>
  </si>
  <si>
    <t>Se integra el registro en un solo sistema (planilla+WMS+Finanzas). Desaparece la revalidacion de Sebastian y, con ella, el 9% de reproceso por discrepancia.</t>
  </si>
  <si>
    <t>Reingenieria: la informacion se captura una sola vez en origen, en lugar de registrarse tres veces y luego reconciliarse. Elimina un paso y una rama entera (el reproceso ya no puede ocurrir); cambia como fluye la informacion, no solo su velocidad.</t>
  </si>
  <si>
    <t>Finanzas emite el reembolso todos los dias habiles en vez de un lote semanal los jueves.</t>
  </si>
  <si>
    <t>Mejora continua</t>
  </si>
  <si>
    <t>Mejora continua (Lean/Kaizen): el mismo proceso, mas rapido. Mismos pasos, mismo rol decide, misma secuencia; solo se ejecuta con mayor frecuencia. No desaparece nada ni cambia quien decide, por eso no califica como BPR bajo el criterio del curso.</t>
  </si>
  <si>
    <t>Se digitaliza la ficha de papel de bodega (foto + observaciones) a un formulario en tablet.</t>
  </si>
  <si>
    <t>Automatizacion superficial</t>
  </si>
  <si>
    <t>Automatizacion superficial: se digitaliza un paso sin preguntarse por que existe. No cambia el tiempo de inspeccion (25 min), no conecta con el sistema unificado ni con Finanzas, y no evita el 9% de discrepancia si no se hace tambien el Cambio 2. La tecnologia se usa como objetivo y no como habilitador.</t>
  </si>
  <si>
    <t>La foto del producto pasa a ser un campo obligatorio del formulario web: el cliente la sube al enviar la solicitud, en vez de que Camila se la pida por correo dos dias despues.</t>
  </si>
  <si>
    <t>Sesion 3 (ICN-292): "Captura unica en origen"; el dato se toma una sola vez, en la fuente (el propio cliente), al inicio del proceso.</t>
  </si>
  <si>
    <t>Reingenieria: cambia el orden en que se captura la informacion y quien la entrega (la aporta el propio cliente al inicio). Desaparece una tarea completa y con ella la espera mas larga del tramo inicial. Ademas anula el riesgo del supuesto 1 (que el cliente no responda), porque sin foto la solicitud no se puede enviar.</t>
  </si>
  <si>
    <t>Parametros de actividad que cambian en el TO-BE</t>
  </si>
  <si>
    <t>AS-IS</t>
  </si>
  <si>
    <t>TO-BE</t>
  </si>
  <si>
    <t>Cambio asociado</t>
  </si>
  <si>
    <t>10 min trabajo / 6 h espera</t>
  </si>
  <si>
    <t>Eliminada</t>
  </si>
  <si>
    <t>Cambio 1</t>
  </si>
  <si>
    <t>Revalidar en Finanzas (Sebastian)</t>
  </si>
  <si>
    <t>9 min trabajo / 6 h espera</t>
  </si>
  <si>
    <t>Cambio 2</t>
  </si>
  <si>
    <t>Reproceso por discrepancia entre 3 sistemas</t>
  </si>
  <si>
    <t>9% de los casos admisibles, +37 min / +24 h</t>
  </si>
  <si>
    <t>0% (ya no puede ocurrir)</t>
  </si>
  <si>
    <t>Emitir el reembolso - espera (lote)</t>
  </si>
  <si>
    <t>84 h (lote semanal, jueves)</t>
  </si>
  <si>
    <t>5 min trabajo / 48 h espera</t>
  </si>
  <si>
    <t>Eliminada como tarea aparte (la foto llega con la solicitud)</t>
  </si>
  <si>
    <t>Cambio 5</t>
  </si>
  <si>
    <t>Arbol de trazas TO-BE (14 combinaciones: sin Rodrigo, sin revalidacion, sin reproceso, lote diario, foto en el formulario inicial)</t>
  </si>
  <si>
    <t>Traza (camino en el TO-BE)</t>
  </si>
  <si>
    <t>Rechazo por gerencia (monto&gt;U y gerencia rechaza 8%)</t>
  </si>
  <si>
    <t>rechazo por gerencia</t>
  </si>
  <si>
    <t>Exito | monto&lt;=U | retiro en tienda | sin daño</t>
  </si>
  <si>
    <t>Exito | monto&lt;=U | retiro en tienda | reparable (va a taller)</t>
  </si>
  <si>
    <t>Exito | monto&lt;=U | retiro en tienda | se da de baja</t>
  </si>
  <si>
    <t>Exito | monto&lt;=U | courier (Andesexpress) | sin daño</t>
  </si>
  <si>
    <t>Exito | monto&lt;=U | courier (Andesexpress) | reparable (va a taller)</t>
  </si>
  <si>
    <t>Exito | monto&lt;=U | courier (Andesexpress) | se da de baja</t>
  </si>
  <si>
    <t>Exito | monto&gt;U y gerencia aprueba | retiro en tienda | sin daño</t>
  </si>
  <si>
    <t>Exito | monto&gt;U y gerencia aprueba | retiro en tienda | reparable (va a taller)</t>
  </si>
  <si>
    <t>Exito | monto&gt;U y gerencia aprueba | retiro en tienda | se da de baja</t>
  </si>
  <si>
    <t>Exito | monto&gt;U y gerencia aprueba | courier (Andesexpress) | sin daño</t>
  </si>
  <si>
    <t>Exito | monto&gt;U y gerencia aprueba | courier (Andesexpress) | reparable (va a taller)</t>
  </si>
  <si>
    <t>Exito | monto&gt;U y gerencia aprueba | courier (Andesexpress) | se da de baja</t>
  </si>
  <si>
    <t>Resumen comparativo AS-IS vs TO-BE</t>
  </si>
  <si>
    <t>Metrica</t>
  </si>
  <si>
    <t>AS-IS (Parte B)</t>
  </si>
  <si>
    <t>TO-BE (Parte C)</t>
  </si>
  <si>
    <t>Mejora</t>
  </si>
  <si>
    <t>Tiempo de ciclo promedio ponderado (h)</t>
  </si>
  <si>
    <t>Indice de eficiencia del ciclo</t>
  </si>
  <si>
    <t>Costo esperado por solicitud (CLP)</t>
  </si>
  <si>
    <t>Sesion 3 (ICN-292): "BPR pregunta si el flujo debiera existir". Hammer &amp; Champy (1993): repensar fundamental y redisenar radicalmente el proceso.</t>
  </si>
  <si>
    <t>Sesion 3 (ICN-292): "Captura unica en origen". Hammer &amp; Champy (1993): repensar fundamentalmente y redisenar radicalmente el proceso.</t>
  </si>
  <si>
    <t>Sesion 3 (ICN-292): "Lean/Kaizen mejora incrementalmente" /BPR distinto de mejora continua). No corresponde a un principio de BPR.</t>
  </si>
  <si>
    <t>Ninguno. Sesion 3 (ICN-292): "No es automatizar lo existente" y "la tecnologia es el habilitador, no el objetivo".</t>
  </si>
  <si>
    <t>Cambio 3 (SUPUESTO: lote diario reduce la espera promedio a 12h)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</si>
</sst>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"/>
  </numFmts>
  <fonts count="5" x14ac:knownFonts="1">
    <font>
      <sz val="11"/>
      <color theme="1"/>
      <name val="Calibri"/>
      <family val="2"/>
      <charset val="1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name val="Calibri"/>
      <family val="2"/>
      <charset val="1"/>
    </font>
    <font>
      <sz val="12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rgb="FF969696"/>
      </patternFill>
    </fill>
    <fill>
      <patternFill patternType="solid">
        <fgColor rgb="FFE2EFDA"/>
        <bgColor rgb="FFFFFFCC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5" xfId="0" applyFont="1" applyBorder="1"/>
    <xf numFmtId="165" fontId="1" fillId="0" borderId="6" xfId="0" applyNumberFormat="1" applyFont="1" applyBorder="1" applyAlignment="1">
      <alignment horizontal="center" vertical="center"/>
    </xf>
    <xf numFmtId="0" fontId="2" fillId="0" borderId="1" xfId="0" applyFont="1" applyBorder="1"/>
    <xf numFmtId="165" fontId="1" fillId="0" borderId="2" xfId="0" applyNumberFormat="1" applyFont="1" applyBorder="1" applyAlignment="1">
      <alignment horizontal="center" vertical="center"/>
    </xf>
    <xf numFmtId="0" fontId="2" fillId="0" borderId="7" xfId="0" applyFont="1" applyBorder="1"/>
    <xf numFmtId="165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2" fillId="0" borderId="10" xfId="0" applyFont="1" applyBorder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10" fontId="2" fillId="0" borderId="13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0" fontId="1" fillId="2" borderId="14" xfId="0" applyNumberFormat="1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/>
    <xf numFmtId="0" fontId="2" fillId="0" borderId="13" xfId="0" applyFont="1" applyBorder="1" applyAlignment="1">
      <alignment horizontal="center" vertical="center" wrapText="1"/>
    </xf>
    <xf numFmtId="166" fontId="2" fillId="0" borderId="13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66" fontId="2" fillId="0" borderId="14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2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top" wrapText="1"/>
    </xf>
    <xf numFmtId="2" fontId="1" fillId="0" borderId="1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top" wrapText="1"/>
    </xf>
    <xf numFmtId="0" fontId="1" fillId="2" borderId="15" xfId="0" applyFont="1" applyFill="1" applyBorder="1" applyAlignment="1">
      <alignment horizontal="center"/>
    </xf>
    <xf numFmtId="0" fontId="1" fillId="0" borderId="13" xfId="0" applyFont="1" applyBorder="1"/>
    <xf numFmtId="10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0" fillId="0" borderId="13" xfId="0" applyBorder="1"/>
    <xf numFmtId="0" fontId="0" fillId="0" borderId="5" xfId="0" applyBorder="1"/>
    <xf numFmtId="0" fontId="1" fillId="0" borderId="14" xfId="0" applyFont="1" applyBorder="1"/>
    <xf numFmtId="10" fontId="1" fillId="3" borderId="14" xfId="0" applyNumberFormat="1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center" vertical="center"/>
    </xf>
    <xf numFmtId="164" fontId="1" fillId="3" borderId="14" xfId="0" applyNumberFormat="1" applyFont="1" applyFill="1" applyBorder="1" applyAlignment="1">
      <alignment horizontal="center" vertical="center"/>
    </xf>
    <xf numFmtId="0" fontId="0" fillId="0" borderId="14" xfId="0" applyBorder="1"/>
    <xf numFmtId="0" fontId="0" fillId="0" borderId="6" xfId="0" applyBorder="1"/>
    <xf numFmtId="10" fontId="1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opLeftCell="A30" zoomScaleNormal="100" workbookViewId="0">
      <selection activeCell="C50" sqref="C50"/>
    </sheetView>
  </sheetViews>
  <sheetFormatPr baseColWidth="10" defaultColWidth="8.7109375" defaultRowHeight="15" x14ac:dyDescent="0.25"/>
  <cols>
    <col min="1" max="1" width="60.5703125" customWidth="1"/>
    <col min="2" max="2" width="12.85546875" customWidth="1"/>
    <col min="3" max="3" width="10" customWidth="1"/>
    <col min="4" max="4" width="16" customWidth="1"/>
    <col min="5" max="5" width="40" customWidth="1"/>
  </cols>
  <sheetData>
    <row r="1" spans="1:2" ht="17.25" customHeight="1" x14ac:dyDescent="0.25">
      <c r="A1" s="1"/>
    </row>
    <row r="2" spans="1:2" ht="15" customHeight="1" x14ac:dyDescent="0.25">
      <c r="A2" s="1"/>
    </row>
    <row r="4" spans="1:2" ht="15" customHeight="1" x14ac:dyDescent="0.25">
      <c r="A4" s="1" t="s">
        <v>0</v>
      </c>
    </row>
    <row r="5" spans="1:2" ht="15" customHeight="1" x14ac:dyDescent="0.25">
      <c r="A5" s="2" t="s">
        <v>1</v>
      </c>
      <c r="B5" s="3">
        <v>205</v>
      </c>
    </row>
    <row r="6" spans="1:2" ht="15" customHeight="1" x14ac:dyDescent="0.25">
      <c r="A6" s="4" t="s">
        <v>2</v>
      </c>
      <c r="B6" s="5">
        <f>50000 + 1000*MOD(205,40)</f>
        <v>55000</v>
      </c>
    </row>
    <row r="7" spans="1:2" ht="15" customHeight="1" x14ac:dyDescent="0.25">
      <c r="A7" s="4" t="s">
        <v>3</v>
      </c>
      <c r="B7" s="6">
        <f>10 + MOD(205,3)*5</f>
        <v>15</v>
      </c>
    </row>
    <row r="8" spans="1:2" ht="15" customHeight="1" x14ac:dyDescent="0.25">
      <c r="A8" s="4" t="s">
        <v>4</v>
      </c>
      <c r="B8" s="7">
        <f>0.1 + 0.01*MOD(205,10)</f>
        <v>0.15000000000000002</v>
      </c>
    </row>
    <row r="9" spans="1:2" ht="15" customHeight="1" x14ac:dyDescent="0.25">
      <c r="A9" s="4" t="s">
        <v>5</v>
      </c>
      <c r="B9" s="6">
        <f>200 + 3*MOD(205,100)</f>
        <v>215</v>
      </c>
    </row>
    <row r="10" spans="1:2" ht="15" customHeight="1" x14ac:dyDescent="0.25">
      <c r="A10" s="8" t="s">
        <v>6</v>
      </c>
      <c r="B10" s="9">
        <f>MOD(205,2)</f>
        <v>1</v>
      </c>
    </row>
    <row r="11" spans="1:2" ht="15" customHeight="1" x14ac:dyDescent="0.25">
      <c r="B11" s="10"/>
    </row>
    <row r="12" spans="1:2" ht="15" customHeight="1" x14ac:dyDescent="0.25">
      <c r="A12" s="1" t="s">
        <v>7</v>
      </c>
      <c r="B12" s="10"/>
    </row>
    <row r="13" spans="1:2" ht="15" customHeight="1" x14ac:dyDescent="0.25">
      <c r="A13" s="11" t="s">
        <v>8</v>
      </c>
      <c r="B13" s="12" t="s">
        <v>9</v>
      </c>
    </row>
    <row r="14" spans="1:2" ht="15" customHeight="1" x14ac:dyDescent="0.25">
      <c r="A14" s="13" t="s">
        <v>10</v>
      </c>
      <c r="B14" s="7">
        <v>0.3</v>
      </c>
    </row>
    <row r="15" spans="1:2" ht="15" customHeight="1" x14ac:dyDescent="0.25">
      <c r="A15" s="13" t="s">
        <v>11</v>
      </c>
      <c r="B15" s="7">
        <v>0.26</v>
      </c>
    </row>
    <row r="16" spans="1:2" ht="15" customHeight="1" x14ac:dyDescent="0.25">
      <c r="A16" s="13" t="s">
        <v>12</v>
      </c>
      <c r="B16" s="7">
        <v>0.18</v>
      </c>
    </row>
    <row r="17" spans="1:2" ht="15" customHeight="1" x14ac:dyDescent="0.25">
      <c r="A17" s="13" t="s">
        <v>13</v>
      </c>
      <c r="B17" s="7">
        <v>0.14000000000000001</v>
      </c>
    </row>
    <row r="18" spans="1:2" ht="15" customHeight="1" x14ac:dyDescent="0.25">
      <c r="A18" s="14" t="s">
        <v>14</v>
      </c>
      <c r="B18" s="15">
        <v>0.12</v>
      </c>
    </row>
    <row r="19" spans="1:2" ht="15" customHeight="1" x14ac:dyDescent="0.25">
      <c r="B19" s="10"/>
    </row>
    <row r="20" spans="1:2" ht="15" customHeight="1" x14ac:dyDescent="0.25">
      <c r="A20" s="1" t="s">
        <v>15</v>
      </c>
      <c r="B20" s="10"/>
    </row>
    <row r="21" spans="1:2" ht="15" customHeight="1" x14ac:dyDescent="0.25">
      <c r="A21" s="11" t="s">
        <v>16</v>
      </c>
      <c r="B21" s="12" t="s">
        <v>9</v>
      </c>
    </row>
    <row r="22" spans="1:2" ht="15" customHeight="1" x14ac:dyDescent="0.25">
      <c r="A22" s="4" t="s">
        <v>17</v>
      </c>
      <c r="B22" s="7">
        <v>0.2</v>
      </c>
    </row>
    <row r="23" spans="1:2" ht="15" customHeight="1" x14ac:dyDescent="0.25">
      <c r="A23" s="4" t="s">
        <v>18</v>
      </c>
      <c r="B23" s="5">
        <v>20000</v>
      </c>
    </row>
    <row r="24" spans="1:2" ht="15" customHeight="1" x14ac:dyDescent="0.25">
      <c r="A24" s="4" t="s">
        <v>19</v>
      </c>
      <c r="B24" s="5">
        <v>60000</v>
      </c>
    </row>
    <row r="25" spans="1:2" ht="15" customHeight="1" x14ac:dyDescent="0.25">
      <c r="A25" s="4" t="s">
        <v>20</v>
      </c>
      <c r="B25" s="7">
        <v>0.28000000000000003</v>
      </c>
    </row>
    <row r="26" spans="1:2" ht="15" customHeight="1" x14ac:dyDescent="0.25">
      <c r="A26" s="4" t="s">
        <v>21</v>
      </c>
      <c r="B26" s="7">
        <v>0.24</v>
      </c>
    </row>
    <row r="27" spans="1:2" ht="15" customHeight="1" x14ac:dyDescent="0.25">
      <c r="A27" s="4" t="s">
        <v>22</v>
      </c>
      <c r="B27" s="7">
        <v>0.18</v>
      </c>
    </row>
    <row r="28" spans="1:2" ht="15" customHeight="1" x14ac:dyDescent="0.25">
      <c r="A28" s="8" t="s">
        <v>23</v>
      </c>
      <c r="B28" s="15">
        <v>0.1</v>
      </c>
    </row>
    <row r="29" spans="1:2" ht="15" customHeight="1" x14ac:dyDescent="0.25">
      <c r="B29" s="10"/>
    </row>
    <row r="30" spans="1:2" ht="15" customHeight="1" x14ac:dyDescent="0.25">
      <c r="A30" s="1" t="s">
        <v>24</v>
      </c>
      <c r="B30" s="10"/>
    </row>
    <row r="31" spans="1:2" ht="15" customHeight="1" x14ac:dyDescent="0.25">
      <c r="A31" s="16" t="s">
        <v>25</v>
      </c>
      <c r="B31" s="17">
        <v>0.08</v>
      </c>
    </row>
    <row r="32" spans="1:2" ht="15" customHeight="1" x14ac:dyDescent="0.25">
      <c r="A32" s="13" t="s">
        <v>26</v>
      </c>
      <c r="B32" s="7">
        <v>0.7</v>
      </c>
    </row>
    <row r="33" spans="1:2" ht="15" customHeight="1" x14ac:dyDescent="0.25">
      <c r="A33" s="14" t="s">
        <v>27</v>
      </c>
      <c r="B33" s="15">
        <v>0.09</v>
      </c>
    </row>
    <row r="34" spans="1:2" ht="15" customHeight="1" x14ac:dyDescent="0.25">
      <c r="B34" s="10"/>
    </row>
    <row r="35" spans="1:2" ht="15" customHeight="1" x14ac:dyDescent="0.25">
      <c r="A35" s="1" t="s">
        <v>28</v>
      </c>
      <c r="B35" s="10"/>
    </row>
    <row r="36" spans="1:2" ht="15" customHeight="1" x14ac:dyDescent="0.25">
      <c r="A36" s="18" t="s">
        <v>29</v>
      </c>
      <c r="B36" s="19">
        <v>0.5</v>
      </c>
    </row>
    <row r="37" spans="1:2" ht="15" customHeight="1" x14ac:dyDescent="0.25">
      <c r="B37" s="10"/>
    </row>
    <row r="38" spans="1:2" ht="15" customHeight="1" x14ac:dyDescent="0.25">
      <c r="B38" s="10"/>
    </row>
    <row r="39" spans="1:2" ht="15" customHeight="1" x14ac:dyDescent="0.25">
      <c r="A39" s="1" t="s">
        <v>30</v>
      </c>
      <c r="B39" s="10"/>
    </row>
    <row r="40" spans="1:2" ht="15" customHeight="1" x14ac:dyDescent="0.25">
      <c r="A40" s="16" t="s">
        <v>31</v>
      </c>
      <c r="B40" s="20">
        <v>6500</v>
      </c>
    </row>
    <row r="41" spans="1:2" ht="15" customHeight="1" x14ac:dyDescent="0.25">
      <c r="A41" s="13" t="s">
        <v>32</v>
      </c>
      <c r="B41" s="5">
        <v>11000</v>
      </c>
    </row>
    <row r="42" spans="1:2" ht="15" customHeight="1" x14ac:dyDescent="0.25">
      <c r="A42" s="13" t="s">
        <v>33</v>
      </c>
      <c r="B42" s="5">
        <v>5800</v>
      </c>
    </row>
    <row r="43" spans="1:2" ht="15" customHeight="1" x14ac:dyDescent="0.25">
      <c r="A43" s="13" t="s">
        <v>34</v>
      </c>
      <c r="B43" s="5">
        <v>18000</v>
      </c>
    </row>
    <row r="44" spans="1:2" ht="15" customHeight="1" x14ac:dyDescent="0.25">
      <c r="A44" s="13" t="s">
        <v>35</v>
      </c>
      <c r="B44" s="5">
        <v>9200</v>
      </c>
    </row>
    <row r="45" spans="1:2" ht="15" customHeight="1" x14ac:dyDescent="0.25">
      <c r="A45" s="13" t="s">
        <v>36</v>
      </c>
      <c r="B45" s="5">
        <v>8400</v>
      </c>
    </row>
    <row r="46" spans="1:2" ht="15" customHeight="1" x14ac:dyDescent="0.25">
      <c r="A46" s="13" t="s">
        <v>37</v>
      </c>
      <c r="B46" s="5">
        <v>4900</v>
      </c>
    </row>
    <row r="47" spans="1:2" ht="15" customHeight="1" x14ac:dyDescent="0.25">
      <c r="A47" s="14" t="s">
        <v>38</v>
      </c>
      <c r="B47" s="21">
        <v>900</v>
      </c>
    </row>
    <row r="48" spans="1:2" ht="15" customHeight="1" x14ac:dyDescent="0.25">
      <c r="B48" s="10"/>
    </row>
    <row r="49" spans="1:3" ht="15" customHeight="1" x14ac:dyDescent="0.25">
      <c r="A49" s="1" t="s">
        <v>39</v>
      </c>
      <c r="B49" s="10"/>
    </row>
    <row r="50" spans="1:3" ht="15" customHeight="1" x14ac:dyDescent="0.25">
      <c r="A50" s="22" t="s">
        <v>40</v>
      </c>
      <c r="B50" s="23" t="s">
        <v>41</v>
      </c>
      <c r="C50" s="24" t="s">
        <v>42</v>
      </c>
    </row>
    <row r="51" spans="1:3" ht="15" customHeight="1" x14ac:dyDescent="0.25">
      <c r="A51" s="25" t="s">
        <v>43</v>
      </c>
      <c r="B51" s="26">
        <v>12</v>
      </c>
      <c r="C51" s="27">
        <v>4</v>
      </c>
    </row>
    <row r="52" spans="1:3" ht="15" customHeight="1" x14ac:dyDescent="0.25">
      <c r="A52" s="13" t="s">
        <v>44</v>
      </c>
      <c r="B52" s="28">
        <v>8</v>
      </c>
      <c r="C52" s="6">
        <v>2</v>
      </c>
    </row>
    <row r="53" spans="1:3" ht="15" customHeight="1" x14ac:dyDescent="0.25">
      <c r="A53" s="13" t="s">
        <v>45</v>
      </c>
      <c r="B53" s="28">
        <v>5</v>
      </c>
      <c r="C53" s="6">
        <v>48</v>
      </c>
    </row>
    <row r="54" spans="1:3" ht="15" customHeight="1" x14ac:dyDescent="0.25">
      <c r="A54" s="13" t="s">
        <v>46</v>
      </c>
      <c r="B54" s="28">
        <v>6</v>
      </c>
      <c r="C54" s="6">
        <v>48</v>
      </c>
    </row>
    <row r="55" spans="1:3" ht="15" customHeight="1" x14ac:dyDescent="0.25">
      <c r="A55" s="13" t="s">
        <v>47</v>
      </c>
      <c r="B55" s="28">
        <v>8</v>
      </c>
      <c r="C55" s="6">
        <v>4</v>
      </c>
    </row>
    <row r="56" spans="1:3" ht="15" customHeight="1" x14ac:dyDescent="0.25">
      <c r="A56" s="13" t="s">
        <v>48</v>
      </c>
      <c r="B56" s="28">
        <v>10</v>
      </c>
      <c r="C56" s="6">
        <v>6</v>
      </c>
    </row>
    <row r="57" spans="1:3" ht="15" customHeight="1" x14ac:dyDescent="0.25">
      <c r="A57" s="13" t="s">
        <v>49</v>
      </c>
      <c r="B57" s="28">
        <v>15</v>
      </c>
      <c r="C57" s="6">
        <v>0</v>
      </c>
    </row>
    <row r="58" spans="1:3" ht="15" customHeight="1" x14ac:dyDescent="0.25">
      <c r="A58" s="13" t="s">
        <v>50</v>
      </c>
      <c r="B58" s="28">
        <v>0</v>
      </c>
      <c r="C58" s="6">
        <v>72</v>
      </c>
    </row>
    <row r="59" spans="1:3" ht="15" customHeight="1" x14ac:dyDescent="0.25">
      <c r="A59" s="13" t="s">
        <v>51</v>
      </c>
      <c r="B59" s="28">
        <v>0</v>
      </c>
      <c r="C59" s="6">
        <v>18</v>
      </c>
    </row>
    <row r="60" spans="1:3" ht="15" customHeight="1" x14ac:dyDescent="0.25">
      <c r="A60" s="13" t="s">
        <v>52</v>
      </c>
      <c r="B60" s="28">
        <v>25</v>
      </c>
      <c r="C60" s="6">
        <v>8</v>
      </c>
    </row>
    <row r="61" spans="1:3" ht="15" customHeight="1" x14ac:dyDescent="0.25">
      <c r="A61" s="13" t="s">
        <v>53</v>
      </c>
      <c r="B61" s="28">
        <v>10</v>
      </c>
      <c r="C61" s="6">
        <v>12</v>
      </c>
    </row>
    <row r="62" spans="1:3" ht="15" customHeight="1" x14ac:dyDescent="0.25">
      <c r="A62" s="13" t="s">
        <v>54</v>
      </c>
      <c r="B62" s="28">
        <v>9</v>
      </c>
      <c r="C62" s="6">
        <v>6</v>
      </c>
    </row>
    <row r="63" spans="1:3" ht="15" customHeight="1" x14ac:dyDescent="0.25">
      <c r="A63" s="13" t="s">
        <v>55</v>
      </c>
      <c r="B63" s="28">
        <v>14</v>
      </c>
      <c r="C63" s="6">
        <v>84</v>
      </c>
    </row>
    <row r="64" spans="1:3" ht="15" customHeight="1" x14ac:dyDescent="0.25">
      <c r="A64" s="13" t="s">
        <v>56</v>
      </c>
      <c r="B64" s="28">
        <v>65</v>
      </c>
      <c r="C64" s="6">
        <v>120</v>
      </c>
    </row>
    <row r="65" spans="1:3" ht="15" customHeight="1" x14ac:dyDescent="0.25">
      <c r="A65" s="14" t="s">
        <v>57</v>
      </c>
      <c r="B65" s="29">
        <v>37</v>
      </c>
      <c r="C65" s="9">
        <v>24</v>
      </c>
    </row>
    <row r="67" spans="1:3" ht="16.5" customHeight="1" x14ac:dyDescent="0.25">
      <c r="A67" s="1" t="s">
        <v>58</v>
      </c>
    </row>
    <row r="68" spans="1:3" ht="15.75" customHeight="1" x14ac:dyDescent="0.25">
      <c r="A68" s="30" t="s">
        <v>59</v>
      </c>
      <c r="B68" s="17">
        <f>$B$14+$B$15+$B$16</f>
        <v>0.74</v>
      </c>
    </row>
    <row r="69" spans="1:3" ht="15.75" customHeight="1" x14ac:dyDescent="0.25">
      <c r="A69" s="31" t="s">
        <v>60</v>
      </c>
      <c r="B69" s="7">
        <f>1-$B$68</f>
        <v>0.26</v>
      </c>
    </row>
    <row r="70" spans="1:3" ht="15.75" customHeight="1" x14ac:dyDescent="0.25">
      <c r="A70" s="31" t="s">
        <v>61</v>
      </c>
      <c r="B70" s="7">
        <f>($B$24-$B$6)/($B$24-$B$23)</f>
        <v>0.125</v>
      </c>
    </row>
    <row r="71" spans="1:3" ht="15.75" customHeight="1" x14ac:dyDescent="0.25">
      <c r="A71" s="31" t="s">
        <v>62</v>
      </c>
      <c r="B71" s="7">
        <f>$B$22*$B$70+$B$25+$B$26+$B$27+$B$28</f>
        <v>0.82500000000000007</v>
      </c>
    </row>
    <row r="72" spans="1:3" ht="15.75" customHeight="1" x14ac:dyDescent="0.25">
      <c r="A72" s="31" t="s">
        <v>63</v>
      </c>
      <c r="B72" s="7">
        <f>1-$B$71</f>
        <v>0.17499999999999993</v>
      </c>
    </row>
    <row r="73" spans="1:3" ht="15.75" customHeight="1" x14ac:dyDescent="0.25">
      <c r="A73" s="31" t="s">
        <v>64</v>
      </c>
      <c r="B73" s="7">
        <f>1-$B$31</f>
        <v>0.92</v>
      </c>
    </row>
    <row r="74" spans="1:3" ht="15.75" customHeight="1" x14ac:dyDescent="0.25">
      <c r="A74" s="31" t="s">
        <v>65</v>
      </c>
      <c r="B74" s="7">
        <f>1-$B$8</f>
        <v>0.85</v>
      </c>
    </row>
    <row r="75" spans="1:3" ht="15.75" customHeight="1" x14ac:dyDescent="0.25">
      <c r="A75" s="31" t="s">
        <v>66</v>
      </c>
      <c r="B75" s="7">
        <f>$B$8*$B$32</f>
        <v>0.10500000000000001</v>
      </c>
    </row>
    <row r="76" spans="1:3" ht="15.75" customHeight="1" x14ac:dyDescent="0.25">
      <c r="A76" s="31" t="s">
        <v>67</v>
      </c>
      <c r="B76" s="7">
        <f>$B$8*(1-$B$32)</f>
        <v>4.5000000000000012E-2</v>
      </c>
    </row>
    <row r="77" spans="1:3" ht="15.75" customHeight="1" x14ac:dyDescent="0.25">
      <c r="A77" s="31" t="s">
        <v>68</v>
      </c>
      <c r="B77" s="7">
        <f>1-$B$33</f>
        <v>0.91</v>
      </c>
    </row>
    <row r="78" spans="1:3" ht="16.5" customHeight="1" x14ac:dyDescent="0.25">
      <c r="A78" s="32" t="s">
        <v>69</v>
      </c>
      <c r="B78" s="15">
        <f>1-$B$36</f>
        <v>0.5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zoomScaleNormal="100" workbookViewId="0">
      <selection activeCell="B37" sqref="B37"/>
    </sheetView>
  </sheetViews>
  <sheetFormatPr baseColWidth="10" defaultColWidth="8.7109375" defaultRowHeight="15" x14ac:dyDescent="0.25"/>
  <cols>
    <col min="1" max="1" width="4" customWidth="1"/>
    <col min="2" max="2" width="112.7109375" customWidth="1"/>
    <col min="3" max="3" width="9.140625" customWidth="1"/>
    <col min="4" max="4" width="12.85546875" customWidth="1"/>
    <col min="5" max="5" width="10" customWidth="1"/>
    <col min="6" max="6" width="8.5703125" customWidth="1"/>
    <col min="7" max="7" width="12.42578125" customWidth="1"/>
    <col min="8" max="8" width="9" customWidth="1"/>
    <col min="9" max="9" width="9.7109375" customWidth="1"/>
    <col min="10" max="10" width="15.7109375" customWidth="1"/>
    <col min="11" max="11" width="7.42578125" customWidth="1"/>
    <col min="12" max="12" width="9.140625" customWidth="1"/>
    <col min="13" max="13" width="10.42578125" customWidth="1"/>
    <col min="14" max="14" width="21.42578125" customWidth="1"/>
  </cols>
  <sheetData>
    <row r="1" spans="1:14" ht="15.75" customHeight="1" x14ac:dyDescent="0.25">
      <c r="A1" s="1"/>
    </row>
    <row r="2" spans="1:14" ht="15.75" customHeight="1" x14ac:dyDescent="0.25"/>
    <row r="3" spans="1:14" ht="15.75" customHeight="1" x14ac:dyDescent="0.25">
      <c r="A3" s="33" t="s">
        <v>70</v>
      </c>
      <c r="B3" s="34" t="s">
        <v>71</v>
      </c>
      <c r="C3" s="34" t="s">
        <v>72</v>
      </c>
      <c r="D3" s="34" t="s">
        <v>41</v>
      </c>
      <c r="E3" s="34" t="s">
        <v>42</v>
      </c>
      <c r="F3" s="34" t="s">
        <v>73</v>
      </c>
      <c r="G3" s="34" t="s">
        <v>74</v>
      </c>
      <c r="H3" s="34" t="s">
        <v>75</v>
      </c>
      <c r="I3" s="34" t="s">
        <v>76</v>
      </c>
      <c r="J3" s="34" t="s">
        <v>77</v>
      </c>
      <c r="K3" s="35" t="s">
        <v>78</v>
      </c>
      <c r="L3" s="35" t="s">
        <v>79</v>
      </c>
      <c r="M3" s="35" t="s">
        <v>80</v>
      </c>
      <c r="N3" s="12" t="s">
        <v>81</v>
      </c>
    </row>
    <row r="4" spans="1:14" ht="15" customHeight="1" x14ac:dyDescent="0.25">
      <c r="A4" s="36">
        <v>1</v>
      </c>
      <c r="B4" s="37" t="s">
        <v>82</v>
      </c>
      <c r="C4" s="38">
        <f>Parametros!$B$69</f>
        <v>0.26</v>
      </c>
      <c r="D4" s="39">
        <f>Parametros!$B$51+Parametros!$B$52</f>
        <v>20</v>
      </c>
      <c r="E4" s="39">
        <f>Parametros!$C$51+Parametros!$C$52</f>
        <v>6</v>
      </c>
      <c r="F4" s="39">
        <f t="shared" ref="F4:F29" si="0">D4/60+E4</f>
        <v>6.333333333333333</v>
      </c>
      <c r="G4" s="40">
        <f>(Parametros!$B$51/60*Parametros!$B$40)+(Parametros!$B$52/60*Parametros!$B$40)</f>
        <v>2166.6666666666665</v>
      </c>
      <c r="H4" s="39">
        <f t="shared" ref="H4:H29" si="1">C4*F4</f>
        <v>1.6466666666666667</v>
      </c>
      <c r="I4" s="40">
        <f t="shared" ref="I4:I29" si="2">C4*G4</f>
        <v>563.33333333333326</v>
      </c>
      <c r="J4" s="39">
        <f t="shared" ref="J4:J29" si="3">C4*D4</f>
        <v>5.2</v>
      </c>
      <c r="K4" s="41"/>
      <c r="L4" s="41"/>
      <c r="M4" s="41"/>
      <c r="N4" s="42" t="s">
        <v>83</v>
      </c>
    </row>
    <row r="5" spans="1:14" ht="15" customHeight="1" x14ac:dyDescent="0.25">
      <c r="A5" s="36">
        <v>2</v>
      </c>
      <c r="B5" s="37" t="s">
        <v>84</v>
      </c>
      <c r="C5" s="38">
        <f>Parametros!$B$68*Parametros!$B$71*Parametros!$B$31</f>
        <v>4.8840000000000001E-2</v>
      </c>
      <c r="D5" s="39">
        <f>Parametros!$B$51+Parametros!$B$52+Parametros!$B$53+Parametros!$B$54+Parametros!$B$55</f>
        <v>39</v>
      </c>
      <c r="E5" s="39">
        <f>Parametros!$C$51+Parametros!$C$52+Parametros!$C$53+Parametros!$C$54+Parametros!$C$55</f>
        <v>106</v>
      </c>
      <c r="F5" s="39">
        <f t="shared" si="0"/>
        <v>106.65</v>
      </c>
      <c r="G5" s="40">
        <f>(Parametros!$B$51/60*Parametros!$B$40)+(Parametros!$B$52/60*Parametros!$B$40)+(Parametros!$B$53/60*Parametros!$B$40)+(Parametros!$B$54/60*Parametros!$B$40)+(Parametros!$B$55/60*Parametros!$B$43)</f>
        <v>5758.333333333333</v>
      </c>
      <c r="H5" s="39">
        <f t="shared" si="1"/>
        <v>5.2087860000000008</v>
      </c>
      <c r="I5" s="40">
        <f t="shared" si="2"/>
        <v>281.23699999999997</v>
      </c>
      <c r="J5" s="39">
        <f t="shared" si="3"/>
        <v>1.90476</v>
      </c>
      <c r="K5" s="41"/>
      <c r="L5" s="41"/>
      <c r="M5" s="41"/>
      <c r="N5" s="42" t="s">
        <v>85</v>
      </c>
    </row>
    <row r="6" spans="1:14" ht="15" customHeight="1" x14ac:dyDescent="0.25">
      <c r="A6" s="36">
        <v>3</v>
      </c>
      <c r="B6" s="37" t="s">
        <v>86</v>
      </c>
      <c r="C6" s="38">
        <f>Parametros!$B$68*Parametros!$B$72*Parametros!$B$36*Parametros!$B$74*Parametros!$B$77</f>
        <v>5.0084124999999979E-2</v>
      </c>
      <c r="D6" s="39">
        <f>Parametros!$B$51+Parametros!$B$52+Parametros!$B$53+Parametros!$B$56+Parametros!$B$59+Parametros!$B$60+Parametros!$B$61+Parametros!$B$62+Parametros!$B$63</f>
        <v>93</v>
      </c>
      <c r="E6" s="39">
        <f>Parametros!$C$51+Parametros!$C$52+Parametros!$C$53+Parametros!$C$56+Parametros!$C$59+Parametros!$C$60+Parametros!$C$61+Parametros!$C$62+Parametros!$C$63</f>
        <v>188</v>
      </c>
      <c r="F6" s="39">
        <f t="shared" si="0"/>
        <v>189.55</v>
      </c>
      <c r="G6" s="40">
        <f>(Parametros!$B$51/60*Parametros!$B$40)+(Parametros!$B$52/60*Parametros!$B$40)+(Parametros!$B$53/60*Parametros!$B$40)+(Parametros!$B$56/60*Parametros!$B$41)+(Parametros!$B$60/60*Parametros!$B$42)+(Parametros!$B$61/60*Parametros!$B$42)+(Parametros!$B$62/60*Parametros!$B$44)+(Parametros!$B$63/60*Parametros!$B$44)+Parametros!$B$47</f>
        <v>12351.666666666666</v>
      </c>
      <c r="H6" s="39">
        <f t="shared" si="1"/>
        <v>9.4934458937499961</v>
      </c>
      <c r="I6" s="40">
        <f t="shared" si="2"/>
        <v>618.62241729166635</v>
      </c>
      <c r="J6" s="39">
        <f t="shared" si="3"/>
        <v>4.657823624999998</v>
      </c>
      <c r="K6" s="43" t="s">
        <v>87</v>
      </c>
      <c r="L6" s="43" t="s">
        <v>88</v>
      </c>
      <c r="M6" s="43" t="s">
        <v>89</v>
      </c>
      <c r="N6" s="42" t="s">
        <v>90</v>
      </c>
    </row>
    <row r="7" spans="1:14" ht="15" customHeight="1" x14ac:dyDescent="0.25">
      <c r="A7" s="36">
        <v>4</v>
      </c>
      <c r="B7" s="37" t="s">
        <v>91</v>
      </c>
      <c r="C7" s="38">
        <f>Parametros!$B$68*Parametros!$B$72*Parametros!$B$36*Parametros!$B$74*Parametros!$B$33</f>
        <v>4.9533749999999977E-3</v>
      </c>
      <c r="D7" s="39">
        <f>Parametros!$B$51+Parametros!$B$52+Parametros!$B$53+Parametros!$B$56+Parametros!$B$59+Parametros!$B$60+Parametros!$B$61+Parametros!$B$62+Parametros!$B$65+Parametros!$B$63</f>
        <v>130</v>
      </c>
      <c r="E7" s="39">
        <f>Parametros!$C$51+Parametros!$C$52+Parametros!$C$53+Parametros!$C$56+Parametros!$C$59+Parametros!$C$60+Parametros!$C$61+Parametros!$C$62+Parametros!$C$65+Parametros!$C$63</f>
        <v>212</v>
      </c>
      <c r="F7" s="39">
        <f t="shared" si="0"/>
        <v>214.16666666666666</v>
      </c>
      <c r="G7" s="40">
        <f>(Parametros!$B$51/60*Parametros!$B$40)+(Parametros!$B$52/60*Parametros!$B$40)+(Parametros!$B$53/60*Parametros!$B$40)+(Parametros!$B$56/60*Parametros!$B$41)+(Parametros!$B$60/60*Parametros!$B$42)+(Parametros!$B$61/60*Parametros!$B$42)+(Parametros!$B$62/60*Parametros!$B$44)+(Parametros!$B$63/60*Parametros!$B$44)+(22/60*Parametros!$B$40)+(15/60*Parametros!$B$44)+Parametros!$B$47</f>
        <v>17035</v>
      </c>
      <c r="H7" s="39">
        <f t="shared" si="1"/>
        <v>1.0608478124999994</v>
      </c>
      <c r="I7" s="40">
        <f t="shared" si="2"/>
        <v>84.380743124999967</v>
      </c>
      <c r="J7" s="39">
        <f t="shared" si="3"/>
        <v>0.64393874999999967</v>
      </c>
      <c r="K7" s="43" t="s">
        <v>87</v>
      </c>
      <c r="L7" s="43" t="s">
        <v>88</v>
      </c>
      <c r="M7" s="43" t="s">
        <v>92</v>
      </c>
      <c r="N7" s="42" t="s">
        <v>90</v>
      </c>
    </row>
    <row r="8" spans="1:14" ht="15" customHeight="1" x14ac:dyDescent="0.25">
      <c r="A8" s="36">
        <v>5</v>
      </c>
      <c r="B8" s="37" t="s">
        <v>93</v>
      </c>
      <c r="C8" s="38">
        <f>Parametros!$B$68*Parametros!$B$72*Parametros!$B$36*Parametros!$B$75*Parametros!$B$77</f>
        <v>6.1868624999999984E-3</v>
      </c>
      <c r="D8" s="39">
        <f>Parametros!$B$51+Parametros!$B$52+Parametros!$B$53+Parametros!$B$56+Parametros!$B$59+Parametros!$B$60+Parametros!$B$64+Parametros!$B$61+Parametros!$B$62+Parametros!$B$63</f>
        <v>158</v>
      </c>
      <c r="E8" s="39">
        <f>Parametros!$C$51+Parametros!$C$52+Parametros!$C$53+Parametros!$C$56+Parametros!$C$59+Parametros!$C$60+Parametros!$C$64+Parametros!$C$61+Parametros!$C$62+Parametros!$C$63</f>
        <v>308</v>
      </c>
      <c r="F8" s="39">
        <f t="shared" si="0"/>
        <v>310.63333333333333</v>
      </c>
      <c r="G8" s="40">
        <f>(Parametros!$B$51/60*Parametros!$B$40)+(Parametros!$B$52/60*Parametros!$B$40)+(Parametros!$B$53/60*Parametros!$B$40)+(Parametros!$B$56/60*Parametros!$B$41)+(Parametros!$B$60/60*Parametros!$B$42)+(Parametros!$B$64/60*Parametros!$B$45)+(Parametros!$B$61/60*Parametros!$B$42)+(Parametros!$B$62/60*Parametros!$B$44)+(Parametros!$B$63/60*Parametros!$B$44)+Parametros!$B$47</f>
        <v>21451.666666666668</v>
      </c>
      <c r="H8" s="39">
        <f t="shared" si="1"/>
        <v>1.9218457212499995</v>
      </c>
      <c r="I8" s="40">
        <f t="shared" si="2"/>
        <v>132.71851206249997</v>
      </c>
      <c r="J8" s="39">
        <f t="shared" si="3"/>
        <v>0.97752427499999972</v>
      </c>
      <c r="K8" s="43" t="s">
        <v>87</v>
      </c>
      <c r="L8" s="43" t="s">
        <v>94</v>
      </c>
      <c r="M8" s="43" t="s">
        <v>89</v>
      </c>
      <c r="N8" s="42" t="s">
        <v>90</v>
      </c>
    </row>
    <row r="9" spans="1:14" ht="15" customHeight="1" x14ac:dyDescent="0.25">
      <c r="A9" s="36">
        <v>6</v>
      </c>
      <c r="B9" s="37" t="s">
        <v>95</v>
      </c>
      <c r="C9" s="38">
        <f>Parametros!$B$68*Parametros!$B$72*Parametros!$B$36*Parametros!$B$75*Parametros!$B$33</f>
        <v>6.1188749999999982E-4</v>
      </c>
      <c r="D9" s="39">
        <f>Parametros!$B$51+Parametros!$B$52+Parametros!$B$53+Parametros!$B$56+Parametros!$B$59+Parametros!$B$60+Parametros!$B$64+Parametros!$B$61+Parametros!$B$62+Parametros!$B$65+Parametros!$B$63</f>
        <v>195</v>
      </c>
      <c r="E9" s="39">
        <f>Parametros!$C$51+Parametros!$C$52+Parametros!$C$53+Parametros!$C$56+Parametros!$C$59+Parametros!$C$60+Parametros!$C$64+Parametros!$C$61+Parametros!$C$62+Parametros!$C$65+Parametros!$C$63</f>
        <v>332</v>
      </c>
      <c r="F9" s="39">
        <f t="shared" si="0"/>
        <v>335.25</v>
      </c>
      <c r="G9" s="40">
        <f>(Parametros!$B$51/60*Parametros!$B$40)+(Parametros!$B$52/60*Parametros!$B$40)+(Parametros!$B$53/60*Parametros!$B$40)+(Parametros!$B$56/60*Parametros!$B$41)+(Parametros!$B$60/60*Parametros!$B$42)+(Parametros!$B$64/60*Parametros!$B$45)+(Parametros!$B$61/60*Parametros!$B$42)+(Parametros!$B$62/60*Parametros!$B$44)+(Parametros!$B$63/60*Parametros!$B$44)+(22/60*Parametros!$B$40)+(15/60*Parametros!$B$44)+Parametros!$B$47</f>
        <v>26135</v>
      </c>
      <c r="H9" s="39">
        <f t="shared" si="1"/>
        <v>0.20513528437499995</v>
      </c>
      <c r="I9" s="40">
        <f t="shared" si="2"/>
        <v>15.991679812499996</v>
      </c>
      <c r="J9" s="39">
        <f t="shared" si="3"/>
        <v>0.11931806249999996</v>
      </c>
      <c r="K9" s="43" t="s">
        <v>87</v>
      </c>
      <c r="L9" s="43" t="s">
        <v>94</v>
      </c>
      <c r="M9" s="43" t="s">
        <v>92</v>
      </c>
      <c r="N9" s="42" t="s">
        <v>90</v>
      </c>
    </row>
    <row r="10" spans="1:14" ht="15" customHeight="1" x14ac:dyDescent="0.25">
      <c r="A10" s="36">
        <v>7</v>
      </c>
      <c r="B10" s="37" t="s">
        <v>96</v>
      </c>
      <c r="C10" s="38">
        <f>Parametros!$B$68*Parametros!$B$72*Parametros!$B$36*Parametros!$B$76*Parametros!$B$77</f>
        <v>2.6515124999999997E-3</v>
      </c>
      <c r="D10" s="39">
        <f>Parametros!$B$51+Parametros!$B$52+Parametros!$B$53+Parametros!$B$56+Parametros!$B$59+Parametros!$B$60+Parametros!$B$61+Parametros!$B$62+Parametros!$B$63</f>
        <v>93</v>
      </c>
      <c r="E10" s="39">
        <f>Parametros!$C$51+Parametros!$C$52+Parametros!$C$53+Parametros!$C$56+Parametros!$C$59+Parametros!$C$60+Parametros!$C$61+Parametros!$C$62+Parametros!$C$63</f>
        <v>188</v>
      </c>
      <c r="F10" s="39">
        <f t="shared" si="0"/>
        <v>189.55</v>
      </c>
      <c r="G10" s="40">
        <f>(Parametros!$B$51/60*Parametros!$B$40)+(Parametros!$B$52/60*Parametros!$B$40)+(Parametros!$B$53/60*Parametros!$B$40)+(Parametros!$B$56/60*Parametros!$B$41)+(Parametros!$B$60/60*Parametros!$B$42)+(Parametros!$B$61/60*Parametros!$B$42)+(Parametros!$B$62/60*Parametros!$B$44)+(Parametros!$B$63/60*Parametros!$B$44)+Parametros!$B$47</f>
        <v>12351.666666666666</v>
      </c>
      <c r="H10" s="39">
        <f t="shared" si="1"/>
        <v>0.50259419437499997</v>
      </c>
      <c r="I10" s="40">
        <f t="shared" si="2"/>
        <v>32.750598562499995</v>
      </c>
      <c r="J10" s="39">
        <f t="shared" si="3"/>
        <v>0.24659066249999997</v>
      </c>
      <c r="K10" s="43" t="s">
        <v>87</v>
      </c>
      <c r="L10" s="43" t="s">
        <v>97</v>
      </c>
      <c r="M10" s="43" t="s">
        <v>89</v>
      </c>
      <c r="N10" s="42" t="s">
        <v>90</v>
      </c>
    </row>
    <row r="11" spans="1:14" ht="15" customHeight="1" x14ac:dyDescent="0.25">
      <c r="A11" s="36">
        <v>8</v>
      </c>
      <c r="B11" s="37" t="s">
        <v>98</v>
      </c>
      <c r="C11" s="38">
        <f>Parametros!$B$68*Parametros!$B$72*Parametros!$B$36*Parametros!$B$76*Parametros!$B$33</f>
        <v>2.6223749999999997E-4</v>
      </c>
      <c r="D11" s="39">
        <f>Parametros!$B$51+Parametros!$B$52+Parametros!$B$53+Parametros!$B$56+Parametros!$B$59+Parametros!$B$60+Parametros!$B$61+Parametros!$B$62+Parametros!$B$65+Parametros!$B$63</f>
        <v>130</v>
      </c>
      <c r="E11" s="39">
        <f>Parametros!$C$51+Parametros!$C$52+Parametros!$C$53+Parametros!$C$56+Parametros!$C$59+Parametros!$C$60+Parametros!$C$61+Parametros!$C$62+Parametros!$C$65+Parametros!$C$63</f>
        <v>212</v>
      </c>
      <c r="F11" s="39">
        <f t="shared" si="0"/>
        <v>214.16666666666666</v>
      </c>
      <c r="G11" s="40">
        <f>(Parametros!$B$51/60*Parametros!$B$40)+(Parametros!$B$52/60*Parametros!$B$40)+(Parametros!$B$53/60*Parametros!$B$40)+(Parametros!$B$56/60*Parametros!$B$41)+(Parametros!$B$60/60*Parametros!$B$42)+(Parametros!$B$61/60*Parametros!$B$42)+(Parametros!$B$62/60*Parametros!$B$44)+(Parametros!$B$63/60*Parametros!$B$44)+(22/60*Parametros!$B$40)+(15/60*Parametros!$B$44)+Parametros!$B$47</f>
        <v>17035</v>
      </c>
      <c r="H11" s="39">
        <f t="shared" si="1"/>
        <v>5.6162531249999995E-2</v>
      </c>
      <c r="I11" s="40">
        <f t="shared" si="2"/>
        <v>4.4672158124999992</v>
      </c>
      <c r="J11" s="39">
        <f t="shared" si="3"/>
        <v>3.4090874999999993E-2</v>
      </c>
      <c r="K11" s="43" t="s">
        <v>87</v>
      </c>
      <c r="L11" s="43" t="s">
        <v>97</v>
      </c>
      <c r="M11" s="43" t="s">
        <v>92</v>
      </c>
      <c r="N11" s="42" t="s">
        <v>90</v>
      </c>
    </row>
    <row r="12" spans="1:14" ht="15" customHeight="1" x14ac:dyDescent="0.25">
      <c r="A12" s="36">
        <v>9</v>
      </c>
      <c r="B12" s="37" t="s">
        <v>99</v>
      </c>
      <c r="C12" s="38">
        <f>Parametros!$B$68*Parametros!$B$72*Parametros!$B$78*Parametros!$B$74*Parametros!$B$77</f>
        <v>5.0084124999999979E-2</v>
      </c>
      <c r="D12" s="39">
        <f>Parametros!$B$51+Parametros!$B$52+Parametros!$B$53+Parametros!$B$56+Parametros!$B$57+Parametros!$B$58+Parametros!$B$59+Parametros!$B$60+Parametros!$B$61+Parametros!$B$62+Parametros!$B$63</f>
        <v>108</v>
      </c>
      <c r="E12" s="39">
        <f>Parametros!$C$51+Parametros!$C$52+Parametros!$C$53+Parametros!$C$56+Parametros!$C$57+Parametros!$C$58+Parametros!$C$59+Parametros!$C$60+Parametros!$C$61+Parametros!$C$62+Parametros!$C$63</f>
        <v>260</v>
      </c>
      <c r="F12" s="39">
        <f t="shared" si="0"/>
        <v>261.8</v>
      </c>
      <c r="G12" s="40">
        <f>(Parametros!$B$51/60*Parametros!$B$40)+(Parametros!$B$52/60*Parametros!$B$40)+(Parametros!$B$53/60*Parametros!$B$40)+(Parametros!$B$56/60*Parametros!$B$41)+(Parametros!$B$57/60*Parametros!$B$40)+(Parametros!$B$60/60*Parametros!$B$42)+(Parametros!$B$61/60*Parametros!$B$42)+(Parametros!$B$62/60*Parametros!$B$44)+(Parametros!$B$63/60*Parametros!$B$44)+Parametros!$B$46+Parametros!$B$47</f>
        <v>18876.666666666664</v>
      </c>
      <c r="H12" s="39">
        <f t="shared" si="1"/>
        <v>13.112023924999995</v>
      </c>
      <c r="I12" s="40">
        <f t="shared" si="2"/>
        <v>945.42133291666619</v>
      </c>
      <c r="J12" s="39">
        <f t="shared" si="3"/>
        <v>5.409085499999998</v>
      </c>
      <c r="K12" s="43" t="s">
        <v>100</v>
      </c>
      <c r="L12" s="43" t="s">
        <v>88</v>
      </c>
      <c r="M12" s="43" t="s">
        <v>89</v>
      </c>
      <c r="N12" s="42" t="s">
        <v>90</v>
      </c>
    </row>
    <row r="13" spans="1:14" ht="15" customHeight="1" x14ac:dyDescent="0.25">
      <c r="A13" s="36">
        <v>10</v>
      </c>
      <c r="B13" s="37" t="s">
        <v>101</v>
      </c>
      <c r="C13" s="38">
        <f>Parametros!$B$68*Parametros!$B$72*Parametros!$B$78*Parametros!$B$74*Parametros!$B$33</f>
        <v>4.9533749999999977E-3</v>
      </c>
      <c r="D13" s="39">
        <f>Parametros!$B$51+Parametros!$B$52+Parametros!$B$53+Parametros!$B$56+Parametros!$B$57+Parametros!$B$58+Parametros!$B$59+Parametros!$B$60+Parametros!$B$61+Parametros!$B$62+Parametros!$B$65+Parametros!$B$63</f>
        <v>145</v>
      </c>
      <c r="E13" s="39">
        <f>Parametros!$C$51+Parametros!$C$52+Parametros!$C$53+Parametros!$C$56+Parametros!$C$57+Parametros!$C$58+Parametros!$C$59+Parametros!$C$60+Parametros!$C$61+Parametros!$C$62+Parametros!$C$65+Parametros!$C$63</f>
        <v>284</v>
      </c>
      <c r="F13" s="39">
        <f t="shared" si="0"/>
        <v>286.41666666666669</v>
      </c>
      <c r="G13" s="40">
        <f>(Parametros!$B$51/60*Parametros!$B$40)+(Parametros!$B$52/60*Parametros!$B$40)+(Parametros!$B$53/60*Parametros!$B$40)+(Parametros!$B$56/60*Parametros!$B$41)+(Parametros!$B$57/60*Parametros!$B$40)+(Parametros!$B$60/60*Parametros!$B$42)+(Parametros!$B$61/60*Parametros!$B$42)+(Parametros!$B$62/60*Parametros!$B$44)+(Parametros!$B$63/60*Parametros!$B$44)+(22/60*Parametros!$B$40)+(15/60*Parametros!$B$44)+Parametros!$B$46+Parametros!$B$47</f>
        <v>23559.999999999996</v>
      </c>
      <c r="H13" s="39">
        <f t="shared" si="1"/>
        <v>1.4187291562499995</v>
      </c>
      <c r="I13" s="40">
        <f t="shared" si="2"/>
        <v>116.70151499999993</v>
      </c>
      <c r="J13" s="39">
        <f t="shared" si="3"/>
        <v>0.71823937499999968</v>
      </c>
      <c r="K13" s="43" t="s">
        <v>100</v>
      </c>
      <c r="L13" s="43" t="s">
        <v>88</v>
      </c>
      <c r="M13" s="43" t="s">
        <v>92</v>
      </c>
      <c r="N13" s="42" t="s">
        <v>90</v>
      </c>
    </row>
    <row r="14" spans="1:14" ht="15" customHeight="1" x14ac:dyDescent="0.25">
      <c r="A14" s="36">
        <v>11</v>
      </c>
      <c r="B14" s="37" t="s">
        <v>102</v>
      </c>
      <c r="C14" s="38">
        <f>Parametros!$B$68*Parametros!$B$72*Parametros!$B$78*Parametros!$B$75*Parametros!$B$77</f>
        <v>6.1868624999999984E-3</v>
      </c>
      <c r="D14" s="39">
        <f>Parametros!$B$51+Parametros!$B$52+Parametros!$B$53+Parametros!$B$56+Parametros!$B$57+Parametros!$B$58+Parametros!$B$59+Parametros!$B$60+Parametros!$B$64+Parametros!$B$61+Parametros!$B$62+Parametros!$B$63</f>
        <v>173</v>
      </c>
      <c r="E14" s="39">
        <f>Parametros!$C$51+Parametros!$C$52+Parametros!$C$53+Parametros!$C$56+Parametros!$C$57+Parametros!$C$58+Parametros!$C$59+Parametros!$C$60+Parametros!$C$64+Parametros!$C$61+Parametros!$C$62+Parametros!$C$63</f>
        <v>380</v>
      </c>
      <c r="F14" s="39">
        <f t="shared" si="0"/>
        <v>382.88333333333333</v>
      </c>
      <c r="G14" s="40">
        <f>(Parametros!$B$51/60*Parametros!$B$40)+(Parametros!$B$52/60*Parametros!$B$40)+(Parametros!$B$53/60*Parametros!$B$40)+(Parametros!$B$56/60*Parametros!$B$41)+(Parametros!$B$57/60*Parametros!$B$40)+(Parametros!$B$60/60*Parametros!$B$42)+(Parametros!$B$64/60*Parametros!$B$45)+(Parametros!$B$61/60*Parametros!$B$42)+(Parametros!$B$62/60*Parametros!$B$44)+(Parametros!$B$63/60*Parametros!$B$44)+Parametros!$B$46+Parametros!$B$47</f>
        <v>27976.666666666668</v>
      </c>
      <c r="H14" s="39">
        <f t="shared" si="1"/>
        <v>2.3688465368749996</v>
      </c>
      <c r="I14" s="40">
        <f t="shared" si="2"/>
        <v>173.08778987499997</v>
      </c>
      <c r="J14" s="39">
        <f t="shared" si="3"/>
        <v>1.0703272124999996</v>
      </c>
      <c r="K14" s="43" t="s">
        <v>100</v>
      </c>
      <c r="L14" s="43" t="s">
        <v>94</v>
      </c>
      <c r="M14" s="43" t="s">
        <v>89</v>
      </c>
      <c r="N14" s="42" t="s">
        <v>90</v>
      </c>
    </row>
    <row r="15" spans="1:14" ht="15" customHeight="1" x14ac:dyDescent="0.25">
      <c r="A15" s="36">
        <v>12</v>
      </c>
      <c r="B15" s="37" t="s">
        <v>103</v>
      </c>
      <c r="C15" s="38">
        <f>Parametros!$B$68*Parametros!$B$72*Parametros!$B$78*Parametros!$B$75*Parametros!$B$33</f>
        <v>6.1188749999999982E-4</v>
      </c>
      <c r="D15" s="39">
        <f>Parametros!$B$51+Parametros!$B$52+Parametros!$B$53+Parametros!$B$56+Parametros!$B$57+Parametros!$B$58+Parametros!$B$59+Parametros!$B$60+Parametros!$B$64+Parametros!$B$61+Parametros!$B$62+Parametros!$B$65+Parametros!$B$63</f>
        <v>210</v>
      </c>
      <c r="E15" s="39">
        <f>Parametros!$C$51+Parametros!$C$52+Parametros!$C$53+Parametros!$C$56+Parametros!$C$57+Parametros!$C$58+Parametros!$C$59+Parametros!$C$60+Parametros!$C$64+Parametros!$C$61+Parametros!$C$62+Parametros!$C$65+Parametros!$C$63</f>
        <v>404</v>
      </c>
      <c r="F15" s="39">
        <f t="shared" si="0"/>
        <v>407.5</v>
      </c>
      <c r="G15" s="40">
        <f>(Parametros!$B$51/60*Parametros!$B$40)+(Parametros!$B$52/60*Parametros!$B$40)+(Parametros!$B$53/60*Parametros!$B$40)+(Parametros!$B$56/60*Parametros!$B$41)+(Parametros!$B$57/60*Parametros!$B$40)+(Parametros!$B$60/60*Parametros!$B$42)+(Parametros!$B$64/60*Parametros!$B$45)+(Parametros!$B$61/60*Parametros!$B$42)+(Parametros!$B$62/60*Parametros!$B$44)+(Parametros!$B$63/60*Parametros!$B$44)+(22/60*Parametros!$B$40)+(15/60*Parametros!$B$44)+Parametros!$B$46+Parametros!$B$47</f>
        <v>32660</v>
      </c>
      <c r="H15" s="39">
        <f t="shared" si="1"/>
        <v>0.24934415624999992</v>
      </c>
      <c r="I15" s="40">
        <f t="shared" si="2"/>
        <v>19.984245749999996</v>
      </c>
      <c r="J15" s="39">
        <f t="shared" si="3"/>
        <v>0.12849637499999997</v>
      </c>
      <c r="K15" s="43" t="s">
        <v>100</v>
      </c>
      <c r="L15" s="43" t="s">
        <v>94</v>
      </c>
      <c r="M15" s="43" t="s">
        <v>92</v>
      </c>
      <c r="N15" s="42" t="s">
        <v>90</v>
      </c>
    </row>
    <row r="16" spans="1:14" ht="15" customHeight="1" x14ac:dyDescent="0.25">
      <c r="A16" s="36">
        <v>13</v>
      </c>
      <c r="B16" s="37" t="s">
        <v>104</v>
      </c>
      <c r="C16" s="38">
        <f>Parametros!$B$68*Parametros!$B$72*Parametros!$B$78*Parametros!$B$76*Parametros!$B$77</f>
        <v>2.6515124999999997E-3</v>
      </c>
      <c r="D16" s="39">
        <f>Parametros!$B$51+Parametros!$B$52+Parametros!$B$53+Parametros!$B$56+Parametros!$B$57+Parametros!$B$58+Parametros!$B$59+Parametros!$B$60+Parametros!$B$61+Parametros!$B$62+Parametros!$B$63</f>
        <v>108</v>
      </c>
      <c r="E16" s="39">
        <f>Parametros!$C$51+Parametros!$C$52+Parametros!$C$53+Parametros!$C$56+Parametros!$C$57+Parametros!$C$58+Parametros!$C$59+Parametros!$C$60+Parametros!$C$61+Parametros!$C$62+Parametros!$C$63</f>
        <v>260</v>
      </c>
      <c r="F16" s="39">
        <f t="shared" si="0"/>
        <v>261.8</v>
      </c>
      <c r="G16" s="40">
        <f>(Parametros!$B$51/60*Parametros!$B$40)+(Parametros!$B$52/60*Parametros!$B$40)+(Parametros!$B$53/60*Parametros!$B$40)+(Parametros!$B$56/60*Parametros!$B$41)+(Parametros!$B$57/60*Parametros!$B$40)+(Parametros!$B$60/60*Parametros!$B$42)+(Parametros!$B$61/60*Parametros!$B$42)+(Parametros!$B$62/60*Parametros!$B$44)+(Parametros!$B$63/60*Parametros!$B$44)+Parametros!$B$46+Parametros!$B$47</f>
        <v>18876.666666666664</v>
      </c>
      <c r="H16" s="39">
        <f t="shared" si="1"/>
        <v>0.69416597250000001</v>
      </c>
      <c r="I16" s="40">
        <f t="shared" si="2"/>
        <v>50.051717624999988</v>
      </c>
      <c r="J16" s="39">
        <f t="shared" si="3"/>
        <v>0.28636334999999996</v>
      </c>
      <c r="K16" s="43" t="s">
        <v>100</v>
      </c>
      <c r="L16" s="43" t="s">
        <v>97</v>
      </c>
      <c r="M16" s="43" t="s">
        <v>89</v>
      </c>
      <c r="N16" s="42" t="s">
        <v>90</v>
      </c>
    </row>
    <row r="17" spans="1:14" ht="15" customHeight="1" x14ac:dyDescent="0.25">
      <c r="A17" s="36">
        <v>14</v>
      </c>
      <c r="B17" s="37" t="s">
        <v>105</v>
      </c>
      <c r="C17" s="38">
        <f>Parametros!$B$68*Parametros!$B$72*Parametros!$B$78*Parametros!$B$76*Parametros!$B$33</f>
        <v>2.6223749999999997E-4</v>
      </c>
      <c r="D17" s="39">
        <f>Parametros!$B$51+Parametros!$B$52+Parametros!$B$53+Parametros!$B$56+Parametros!$B$57+Parametros!$B$58+Parametros!$B$59+Parametros!$B$60+Parametros!$B$61+Parametros!$B$62+Parametros!$B$65+Parametros!$B$63</f>
        <v>145</v>
      </c>
      <c r="E17" s="39">
        <f>Parametros!$C$51+Parametros!$C$52+Parametros!$C$53+Parametros!$C$56+Parametros!$C$57+Parametros!$C$58+Parametros!$C$59+Parametros!$C$60+Parametros!$C$61+Parametros!$C$62+Parametros!$C$65+Parametros!$C$63</f>
        <v>284</v>
      </c>
      <c r="F17" s="39">
        <f t="shared" si="0"/>
        <v>286.41666666666669</v>
      </c>
      <c r="G17" s="40">
        <f>(Parametros!$B$51/60*Parametros!$B$40)+(Parametros!$B$52/60*Parametros!$B$40)+(Parametros!$B$53/60*Parametros!$B$40)+(Parametros!$B$56/60*Parametros!$B$41)+(Parametros!$B$57/60*Parametros!$B$40)+(Parametros!$B$60/60*Parametros!$B$42)+(Parametros!$B$61/60*Parametros!$B$42)+(Parametros!$B$62/60*Parametros!$B$44)+(Parametros!$B$63/60*Parametros!$B$44)+(22/60*Parametros!$B$40)+(15/60*Parametros!$B$44)+Parametros!$B$46+Parametros!$B$47</f>
        <v>23559.999999999996</v>
      </c>
      <c r="H17" s="39">
        <f t="shared" si="1"/>
        <v>7.5109190625000002E-2</v>
      </c>
      <c r="I17" s="40">
        <f t="shared" si="2"/>
        <v>6.1783154999999983</v>
      </c>
      <c r="J17" s="39">
        <f t="shared" si="3"/>
        <v>3.8024437499999994E-2</v>
      </c>
      <c r="K17" s="43" t="s">
        <v>100</v>
      </c>
      <c r="L17" s="43" t="s">
        <v>97</v>
      </c>
      <c r="M17" s="43" t="s">
        <v>92</v>
      </c>
      <c r="N17" s="42" t="s">
        <v>90</v>
      </c>
    </row>
    <row r="18" spans="1:14" ht="15" customHeight="1" x14ac:dyDescent="0.25">
      <c r="A18" s="36">
        <v>15</v>
      </c>
      <c r="B18" s="37" t="s">
        <v>106</v>
      </c>
      <c r="C18" s="38">
        <f>Parametros!$B$68*Parametros!$B$71*Parametros!$B$73*Parametros!$B$36*Parametros!$B$74*Parametros!$B$77</f>
        <v>0.21722200500000002</v>
      </c>
      <c r="D18" s="39">
        <f>Parametros!$B$51+Parametros!$B$52+Parametros!$B$53+Parametros!$B$54+Parametros!$B$55+Parametros!$B$56+Parametros!$B$59+Parametros!$B$60+Parametros!$B$61+Parametros!$B$62+Parametros!$B$63</f>
        <v>107</v>
      </c>
      <c r="E18" s="39">
        <f>Parametros!$C$51+Parametros!$C$52+Parametros!$C$53+Parametros!$C$54+Parametros!$C$55+Parametros!$C$56+Parametros!$C$59+Parametros!$C$60+Parametros!$C$61+Parametros!$C$62+Parametros!$C$63</f>
        <v>240</v>
      </c>
      <c r="F18" s="39">
        <f t="shared" si="0"/>
        <v>241.78333333333333</v>
      </c>
      <c r="G18" s="40">
        <f>(Parametros!$B$51/60*Parametros!$B$40)+(Parametros!$B$52/60*Parametros!$B$40)+(Parametros!$B$53/60*Parametros!$B$40)+(Parametros!$B$54/60*Parametros!$B$40)+(Parametros!$B$55/60*Parametros!$B$43)+(Parametros!$B$56/60*Parametros!$B$41)+(Parametros!$B$60/60*Parametros!$B$42)+(Parametros!$B$61/60*Parametros!$B$42)+(Parametros!$B$62/60*Parametros!$B$44)+(Parametros!$B$63/60*Parametros!$B$44)+Parametros!$B$47</f>
        <v>15401.666666666664</v>
      </c>
      <c r="H18" s="39">
        <f t="shared" si="1"/>
        <v>52.520660442250005</v>
      </c>
      <c r="I18" s="40">
        <f t="shared" si="2"/>
        <v>3345.5809136749999</v>
      </c>
      <c r="J18" s="39">
        <f t="shared" si="3"/>
        <v>23.242754535000003</v>
      </c>
      <c r="K18" s="43" t="s">
        <v>87</v>
      </c>
      <c r="L18" s="43" t="s">
        <v>88</v>
      </c>
      <c r="M18" s="43" t="s">
        <v>89</v>
      </c>
      <c r="N18" s="42" t="s">
        <v>90</v>
      </c>
    </row>
    <row r="19" spans="1:14" ht="15" customHeight="1" x14ac:dyDescent="0.25">
      <c r="A19" s="36">
        <v>16</v>
      </c>
      <c r="B19" s="37" t="s">
        <v>107</v>
      </c>
      <c r="C19" s="38">
        <f>Parametros!$B$68*Parametros!$B$71*Parametros!$B$73*Parametros!$B$36*Parametros!$B$74*Parametros!$B$33</f>
        <v>2.1483495000000002E-2</v>
      </c>
      <c r="D19" s="39">
        <f>Parametros!$B$51+Parametros!$B$52+Parametros!$B$53+Parametros!$B$54+Parametros!$B$55+Parametros!$B$56+Parametros!$B$59+Parametros!$B$60+Parametros!$B$61+Parametros!$B$62+Parametros!$B$65+Parametros!$B$63</f>
        <v>144</v>
      </c>
      <c r="E19" s="39">
        <f>Parametros!$C$51+Parametros!$C$52+Parametros!$C$53+Parametros!$C$54+Parametros!$C$55+Parametros!$C$56+Parametros!$C$59+Parametros!$C$60+Parametros!$C$61+Parametros!$C$62+Parametros!$C$65+Parametros!$C$63</f>
        <v>264</v>
      </c>
      <c r="F19" s="39">
        <f t="shared" si="0"/>
        <v>266.39999999999998</v>
      </c>
      <c r="G19" s="40">
        <f>(Parametros!$B$51/60*Parametros!$B$40)+(Parametros!$B$52/60*Parametros!$B$40)+(Parametros!$B$53/60*Parametros!$B$40)+(Parametros!$B$54/60*Parametros!$B$40)+(Parametros!$B$55/60*Parametros!$B$43)+(Parametros!$B$56/60*Parametros!$B$41)+(Parametros!$B$60/60*Parametros!$B$42)+(Parametros!$B$61/60*Parametros!$B$42)+(Parametros!$B$62/60*Parametros!$B$44)+(Parametros!$B$63/60*Parametros!$B$44)+(22/60*Parametros!$B$40)+(15/60*Parametros!$B$44)+Parametros!$B$47</f>
        <v>20084.999999999996</v>
      </c>
      <c r="H19" s="39">
        <f t="shared" si="1"/>
        <v>5.7232030680000001</v>
      </c>
      <c r="I19" s="40">
        <f t="shared" si="2"/>
        <v>431.49599707499993</v>
      </c>
      <c r="J19" s="39">
        <f t="shared" si="3"/>
        <v>3.0936232800000001</v>
      </c>
      <c r="K19" s="43" t="s">
        <v>87</v>
      </c>
      <c r="L19" s="43" t="s">
        <v>88</v>
      </c>
      <c r="M19" s="43" t="s">
        <v>92</v>
      </c>
      <c r="N19" s="42" t="s">
        <v>90</v>
      </c>
    </row>
    <row r="20" spans="1:14" ht="15" customHeight="1" x14ac:dyDescent="0.25">
      <c r="A20" s="36">
        <v>17</v>
      </c>
      <c r="B20" s="37" t="s">
        <v>108</v>
      </c>
      <c r="C20" s="38">
        <f>Parametros!$B$68*Parametros!$B$71*Parametros!$B$73*Parametros!$B$36*Parametros!$B$75*Parametros!$B$77</f>
        <v>2.6833306500000004E-2</v>
      </c>
      <c r="D20" s="39">
        <f>Parametros!$B$51+Parametros!$B$52+Parametros!$B$53+Parametros!$B$54+Parametros!$B$55+Parametros!$B$56+Parametros!$B$59+Parametros!$B$60+Parametros!$B$64+Parametros!$B$61+Parametros!$B$62+Parametros!$B$63</f>
        <v>172</v>
      </c>
      <c r="E20" s="39">
        <f>Parametros!$C$51+Parametros!$C$52+Parametros!$C$53+Parametros!$C$54+Parametros!$C$55+Parametros!$C$56+Parametros!$C$59+Parametros!$C$60+Parametros!$C$64+Parametros!$C$61+Parametros!$C$62+Parametros!$C$63</f>
        <v>360</v>
      </c>
      <c r="F20" s="39">
        <f t="shared" si="0"/>
        <v>362.86666666666667</v>
      </c>
      <c r="G20" s="40">
        <f>(Parametros!$B$51/60*Parametros!$B$40)+(Parametros!$B$52/60*Parametros!$B$40)+(Parametros!$B$53/60*Parametros!$B$40)+(Parametros!$B$54/60*Parametros!$B$40)+(Parametros!$B$55/60*Parametros!$B$43)+(Parametros!$B$56/60*Parametros!$B$41)+(Parametros!$B$60/60*Parametros!$B$42)+(Parametros!$B$64/60*Parametros!$B$45)+(Parametros!$B$61/60*Parametros!$B$42)+(Parametros!$B$62/60*Parametros!$B$44)+(Parametros!$B$63/60*Parametros!$B$44)+Parametros!$B$47</f>
        <v>24501.666666666668</v>
      </c>
      <c r="H20" s="39">
        <f t="shared" si="1"/>
        <v>9.7369124853000013</v>
      </c>
      <c r="I20" s="40">
        <f t="shared" si="2"/>
        <v>657.46073142750015</v>
      </c>
      <c r="J20" s="39">
        <f t="shared" si="3"/>
        <v>4.6153287180000007</v>
      </c>
      <c r="K20" s="43" t="s">
        <v>87</v>
      </c>
      <c r="L20" s="43" t="s">
        <v>94</v>
      </c>
      <c r="M20" s="43" t="s">
        <v>89</v>
      </c>
      <c r="N20" s="42" t="s">
        <v>90</v>
      </c>
    </row>
    <row r="21" spans="1:14" ht="15" customHeight="1" x14ac:dyDescent="0.25">
      <c r="A21" s="36">
        <v>18</v>
      </c>
      <c r="B21" s="37" t="s">
        <v>109</v>
      </c>
      <c r="C21" s="38">
        <f>Parametros!$B$68*Parametros!$B$71*Parametros!$B$73*Parametros!$B$36*Parametros!$B$75*Parametros!$B$33</f>
        <v>2.6538435000000001E-3</v>
      </c>
      <c r="D21" s="39">
        <f>Parametros!$B$51+Parametros!$B$52+Parametros!$B$53+Parametros!$B$54+Parametros!$B$55+Parametros!$B$56+Parametros!$B$59+Parametros!$B$60+Parametros!$B$64+Parametros!$B$61+Parametros!$B$62+Parametros!$B$65+Parametros!$B$63</f>
        <v>209</v>
      </c>
      <c r="E21" s="39">
        <f>Parametros!$C$51+Parametros!$C$52+Parametros!$C$53+Parametros!$C$54+Parametros!$C$55+Parametros!$C$56+Parametros!$C$59+Parametros!$C$60+Parametros!$C$64+Parametros!$C$61+Parametros!$C$62+Parametros!$C$65+Parametros!$C$63</f>
        <v>384</v>
      </c>
      <c r="F21" s="39">
        <f t="shared" si="0"/>
        <v>387.48333333333335</v>
      </c>
      <c r="G21" s="40">
        <f>(Parametros!$B$51/60*Parametros!$B$40)+(Parametros!$B$52/60*Parametros!$B$40)+(Parametros!$B$53/60*Parametros!$B$40)+(Parametros!$B$54/60*Parametros!$B$40)+(Parametros!$B$55/60*Parametros!$B$43)+(Parametros!$B$56/60*Parametros!$B$41)+(Parametros!$B$60/60*Parametros!$B$42)+(Parametros!$B$64/60*Parametros!$B$45)+(Parametros!$B$61/60*Parametros!$B$42)+(Parametros!$B$62/60*Parametros!$B$44)+(Parametros!$B$63/60*Parametros!$B$44)+(22/60*Parametros!$B$40)+(15/60*Parametros!$B$44)+Parametros!$B$47</f>
        <v>29185</v>
      </c>
      <c r="H21" s="39">
        <f t="shared" si="1"/>
        <v>1.0283201255250001</v>
      </c>
      <c r="I21" s="40">
        <f t="shared" si="2"/>
        <v>77.452422547500007</v>
      </c>
      <c r="J21" s="39">
        <f t="shared" si="3"/>
        <v>0.55465329149999998</v>
      </c>
      <c r="K21" s="43" t="s">
        <v>87</v>
      </c>
      <c r="L21" s="43" t="s">
        <v>94</v>
      </c>
      <c r="M21" s="43" t="s">
        <v>92</v>
      </c>
      <c r="N21" s="42" t="s">
        <v>90</v>
      </c>
    </row>
    <row r="22" spans="1:14" ht="15" customHeight="1" x14ac:dyDescent="0.25">
      <c r="A22" s="36">
        <v>19</v>
      </c>
      <c r="B22" s="37" t="s">
        <v>110</v>
      </c>
      <c r="C22" s="38">
        <f>Parametros!$B$68*Parametros!$B$71*Parametros!$B$73*Parametros!$B$36*Parametros!$B$76*Parametros!$B$77</f>
        <v>1.1499988500000004E-2</v>
      </c>
      <c r="D22" s="39">
        <f>Parametros!$B$51+Parametros!$B$52+Parametros!$B$53+Parametros!$B$54+Parametros!$B$55+Parametros!$B$56+Parametros!$B$59+Parametros!$B$60+Parametros!$B$61+Parametros!$B$62+Parametros!$B$63</f>
        <v>107</v>
      </c>
      <c r="E22" s="39">
        <f>Parametros!$C$51+Parametros!$C$52+Parametros!$C$53+Parametros!$C$54+Parametros!$C$55+Parametros!$C$56+Parametros!$C$59+Parametros!$C$60+Parametros!$C$61+Parametros!$C$62+Parametros!$C$63</f>
        <v>240</v>
      </c>
      <c r="F22" s="39">
        <f t="shared" si="0"/>
        <v>241.78333333333333</v>
      </c>
      <c r="G22" s="40">
        <f>(Parametros!$B$51/60*Parametros!$B$40)+(Parametros!$B$52/60*Parametros!$B$40)+(Parametros!$B$53/60*Parametros!$B$40)+(Parametros!$B$54/60*Parametros!$B$40)+(Parametros!$B$55/60*Parametros!$B$43)+(Parametros!$B$56/60*Parametros!$B$41)+(Parametros!$B$60/60*Parametros!$B$42)+(Parametros!$B$61/60*Parametros!$B$42)+(Parametros!$B$62/60*Parametros!$B$44)+(Parametros!$B$63/60*Parametros!$B$44)+Parametros!$B$47</f>
        <v>15401.666666666664</v>
      </c>
      <c r="H22" s="39">
        <f t="shared" si="1"/>
        <v>2.7805055528250011</v>
      </c>
      <c r="I22" s="40">
        <f t="shared" si="2"/>
        <v>177.11898954750004</v>
      </c>
      <c r="J22" s="39">
        <f t="shared" si="3"/>
        <v>1.2304987695000005</v>
      </c>
      <c r="K22" s="43" t="s">
        <v>87</v>
      </c>
      <c r="L22" s="43" t="s">
        <v>97</v>
      </c>
      <c r="M22" s="43" t="s">
        <v>89</v>
      </c>
      <c r="N22" s="42" t="s">
        <v>90</v>
      </c>
    </row>
    <row r="23" spans="1:14" ht="15" customHeight="1" x14ac:dyDescent="0.25">
      <c r="A23" s="36">
        <v>20</v>
      </c>
      <c r="B23" s="37" t="s">
        <v>111</v>
      </c>
      <c r="C23" s="38">
        <f>Parametros!$B$68*Parametros!$B$71*Parametros!$B$73*Parametros!$B$36*Parametros!$B$76*Parametros!$B$33</f>
        <v>1.1373615000000003E-3</v>
      </c>
      <c r="D23" s="39">
        <f>Parametros!$B$51+Parametros!$B$52+Parametros!$B$53+Parametros!$B$54+Parametros!$B$55+Parametros!$B$56+Parametros!$B$59+Parametros!$B$60+Parametros!$B$61+Parametros!$B$62+Parametros!$B$65+Parametros!$B$63</f>
        <v>144</v>
      </c>
      <c r="E23" s="39">
        <f>Parametros!$C$51+Parametros!$C$52+Parametros!$C$53+Parametros!$C$54+Parametros!$C$55+Parametros!$C$56+Parametros!$C$59+Parametros!$C$60+Parametros!$C$61+Parametros!$C$62+Parametros!$C$65+Parametros!$C$63</f>
        <v>264</v>
      </c>
      <c r="F23" s="39">
        <f t="shared" si="0"/>
        <v>266.39999999999998</v>
      </c>
      <c r="G23" s="40">
        <f>(Parametros!$B$51/60*Parametros!$B$40)+(Parametros!$B$52/60*Parametros!$B$40)+(Parametros!$B$53/60*Parametros!$B$40)+(Parametros!$B$54/60*Parametros!$B$40)+(Parametros!$B$55/60*Parametros!$B$43)+(Parametros!$B$56/60*Parametros!$B$41)+(Parametros!$B$60/60*Parametros!$B$42)+(Parametros!$B$61/60*Parametros!$B$42)+(Parametros!$B$62/60*Parametros!$B$44)+(Parametros!$B$63/60*Parametros!$B$44)+(22/60*Parametros!$B$40)+(15/60*Parametros!$B$44)+Parametros!$B$47</f>
        <v>20084.999999999996</v>
      </c>
      <c r="H23" s="39">
        <f t="shared" si="1"/>
        <v>0.30299310360000004</v>
      </c>
      <c r="I23" s="40">
        <f t="shared" si="2"/>
        <v>22.843905727500001</v>
      </c>
      <c r="J23" s="39">
        <f t="shared" si="3"/>
        <v>0.16378005600000003</v>
      </c>
      <c r="K23" s="43" t="s">
        <v>87</v>
      </c>
      <c r="L23" s="43" t="s">
        <v>97</v>
      </c>
      <c r="M23" s="43" t="s">
        <v>92</v>
      </c>
      <c r="N23" s="42" t="s">
        <v>90</v>
      </c>
    </row>
    <row r="24" spans="1:14" ht="15" customHeight="1" x14ac:dyDescent="0.25">
      <c r="A24" s="36">
        <v>21</v>
      </c>
      <c r="B24" s="37" t="s">
        <v>112</v>
      </c>
      <c r="C24" s="38">
        <f>Parametros!$B$68*Parametros!$B$71*Parametros!$B$73*Parametros!$B$78*Parametros!$B$74*Parametros!$B$77</f>
        <v>0.21722200500000002</v>
      </c>
      <c r="D24" s="39">
        <f>Parametros!$B$51+Parametros!$B$52+Parametros!$B$53+Parametros!$B$54+Parametros!$B$55+Parametros!$B$56+Parametros!$B$57+Parametros!$B$58+Parametros!$B$59+Parametros!$B$60+Parametros!$B$61+Parametros!$B$62+Parametros!$B$63</f>
        <v>122</v>
      </c>
      <c r="E24" s="39">
        <f>Parametros!$C$51+Parametros!$C$52+Parametros!$C$53+Parametros!$C$54+Parametros!$C$55+Parametros!$C$56+Parametros!$C$57+Parametros!$C$58+Parametros!$C$59+Parametros!$C$60+Parametros!$C$61+Parametros!$C$62+Parametros!$C$63</f>
        <v>312</v>
      </c>
      <c r="F24" s="39">
        <f t="shared" si="0"/>
        <v>314.03333333333336</v>
      </c>
      <c r="G24" s="40">
        <f>(Parametros!$B$51/60*Parametros!$B$40)+(Parametros!$B$52/60*Parametros!$B$40)+(Parametros!$B$53/60*Parametros!$B$40)+(Parametros!$B$54/60*Parametros!$B$40)+(Parametros!$B$55/60*Parametros!$B$43)+(Parametros!$B$56/60*Parametros!$B$41)+(Parametros!$B$57/60*Parametros!$B$40)+(Parametros!$B$60/60*Parametros!$B$42)+(Parametros!$B$61/60*Parametros!$B$42)+(Parametros!$B$62/60*Parametros!$B$44)+(Parametros!$B$63/60*Parametros!$B$44)+Parametros!$B$46+Parametros!$B$47</f>
        <v>21926.666666666664</v>
      </c>
      <c r="H24" s="39">
        <f t="shared" si="1"/>
        <v>68.214950303500018</v>
      </c>
      <c r="I24" s="40">
        <f t="shared" si="2"/>
        <v>4762.9544962999998</v>
      </c>
      <c r="J24" s="39">
        <f t="shared" si="3"/>
        <v>26.501084610000003</v>
      </c>
      <c r="K24" s="43" t="s">
        <v>100</v>
      </c>
      <c r="L24" s="43" t="s">
        <v>88</v>
      </c>
      <c r="M24" s="43" t="s">
        <v>89</v>
      </c>
      <c r="N24" s="42" t="s">
        <v>90</v>
      </c>
    </row>
    <row r="25" spans="1:14" ht="15" customHeight="1" x14ac:dyDescent="0.25">
      <c r="A25" s="36">
        <v>22</v>
      </c>
      <c r="B25" s="37" t="s">
        <v>113</v>
      </c>
      <c r="C25" s="38">
        <f>Parametros!$B$68*Parametros!$B$71*Parametros!$B$73*Parametros!$B$78*Parametros!$B$74*Parametros!$B$33</f>
        <v>2.1483495000000002E-2</v>
      </c>
      <c r="D25" s="39">
        <f>Parametros!$B$51+Parametros!$B$52+Parametros!$B$53+Parametros!$B$54+Parametros!$B$55+Parametros!$B$56+Parametros!$B$57+Parametros!$B$58+Parametros!$B$59+Parametros!$B$60+Parametros!$B$61+Parametros!$B$62+Parametros!$B$65+Parametros!$B$63</f>
        <v>159</v>
      </c>
      <c r="E25" s="39">
        <f>Parametros!$C$51+Parametros!$C$52+Parametros!$C$53+Parametros!$C$54+Parametros!$C$55+Parametros!$C$56+Parametros!$C$57+Parametros!$C$58+Parametros!$C$59+Parametros!$C$60+Parametros!$C$61+Parametros!$C$62+Parametros!$C$65+Parametros!$C$63</f>
        <v>336</v>
      </c>
      <c r="F25" s="39">
        <f t="shared" si="0"/>
        <v>338.65</v>
      </c>
      <c r="G25" s="40">
        <f>(Parametros!$B$51/60*Parametros!$B$40)+(Parametros!$B$52/60*Parametros!$B$40)+(Parametros!$B$53/60*Parametros!$B$40)+(Parametros!$B$54/60*Parametros!$B$40)+(Parametros!$B$55/60*Parametros!$B$43)+(Parametros!$B$56/60*Parametros!$B$41)+(Parametros!$B$57/60*Parametros!$B$40)+(Parametros!$B$60/60*Parametros!$B$42)+(Parametros!$B$61/60*Parametros!$B$42)+(Parametros!$B$62/60*Parametros!$B$44)+(Parametros!$B$63/60*Parametros!$B$44)+(22/60*Parametros!$B$40)+(15/60*Parametros!$B$44)+Parametros!$B$46+Parametros!$B$47</f>
        <v>26609.999999999996</v>
      </c>
      <c r="H25" s="39">
        <f t="shared" si="1"/>
        <v>7.2753855817500002</v>
      </c>
      <c r="I25" s="40">
        <f t="shared" si="2"/>
        <v>571.67580194999994</v>
      </c>
      <c r="J25" s="39">
        <f t="shared" si="3"/>
        <v>3.4158757050000004</v>
      </c>
      <c r="K25" s="43" t="s">
        <v>100</v>
      </c>
      <c r="L25" s="43" t="s">
        <v>88</v>
      </c>
      <c r="M25" s="43" t="s">
        <v>92</v>
      </c>
      <c r="N25" s="42" t="s">
        <v>90</v>
      </c>
    </row>
    <row r="26" spans="1:14" ht="15" customHeight="1" x14ac:dyDescent="0.25">
      <c r="A26" s="36">
        <v>23</v>
      </c>
      <c r="B26" s="37" t="s">
        <v>114</v>
      </c>
      <c r="C26" s="38">
        <f>Parametros!$B$68*Parametros!$B$71*Parametros!$B$73*Parametros!$B$78*Parametros!$B$75*Parametros!$B$77</f>
        <v>2.6833306500000004E-2</v>
      </c>
      <c r="D26" s="39">
        <f>Parametros!$B$51+Parametros!$B$52+Parametros!$B$53+Parametros!$B$54+Parametros!$B$55+Parametros!$B$56+Parametros!$B$57+Parametros!$B$58+Parametros!$B$59+Parametros!$B$60+Parametros!$B$64+Parametros!$B$61+Parametros!$B$62+Parametros!$B$63</f>
        <v>187</v>
      </c>
      <c r="E26" s="39">
        <f>Parametros!$C$51+Parametros!$C$52+Parametros!$C$53+Parametros!$C$54+Parametros!$C$55+Parametros!$C$56+Parametros!$C$57+Parametros!$C$58+Parametros!$C$59+Parametros!$C$60+Parametros!$C$64+Parametros!$C$61+Parametros!$C$62+Parametros!$C$63</f>
        <v>432</v>
      </c>
      <c r="F26" s="39">
        <f t="shared" si="0"/>
        <v>435.11666666666667</v>
      </c>
      <c r="G26" s="40">
        <f>(Parametros!$B$51/60*Parametros!$B$40)+(Parametros!$B$52/60*Parametros!$B$40)+(Parametros!$B$53/60*Parametros!$B$40)+(Parametros!$B$54/60*Parametros!$B$40)+(Parametros!$B$55/60*Parametros!$B$43)+(Parametros!$B$56/60*Parametros!$B$41)+(Parametros!$B$57/60*Parametros!$B$40)+(Parametros!$B$60/60*Parametros!$B$42)+(Parametros!$B$64/60*Parametros!$B$45)+(Parametros!$B$61/60*Parametros!$B$42)+(Parametros!$B$62/60*Parametros!$B$44)+(Parametros!$B$63/60*Parametros!$B$44)+Parametros!$B$46+Parametros!$B$47</f>
        <v>31026.666666666668</v>
      </c>
      <c r="H26" s="39">
        <f t="shared" si="1"/>
        <v>11.675618879925002</v>
      </c>
      <c r="I26" s="40">
        <f t="shared" si="2"/>
        <v>832.54805634000013</v>
      </c>
      <c r="J26" s="39">
        <f t="shared" si="3"/>
        <v>5.017828315500001</v>
      </c>
      <c r="K26" s="43" t="s">
        <v>100</v>
      </c>
      <c r="L26" s="43" t="s">
        <v>94</v>
      </c>
      <c r="M26" s="43" t="s">
        <v>89</v>
      </c>
      <c r="N26" s="42" t="s">
        <v>90</v>
      </c>
    </row>
    <row r="27" spans="1:14" ht="15" customHeight="1" x14ac:dyDescent="0.25">
      <c r="A27" s="36">
        <v>24</v>
      </c>
      <c r="B27" s="37" t="s">
        <v>115</v>
      </c>
      <c r="C27" s="38">
        <f>Parametros!$B$68*Parametros!$B$71*Parametros!$B$73*Parametros!$B$78*Parametros!$B$75*Parametros!$B$33</f>
        <v>2.6538435000000001E-3</v>
      </c>
      <c r="D27" s="39">
        <f>Parametros!$B$51+Parametros!$B$52+Parametros!$B$53+Parametros!$B$54+Parametros!$B$55+Parametros!$B$56+Parametros!$B$57+Parametros!$B$58+Parametros!$B$59+Parametros!$B$60+Parametros!$B$64+Parametros!$B$61+Parametros!$B$62+Parametros!$B$65+Parametros!$B$63</f>
        <v>224</v>
      </c>
      <c r="E27" s="39">
        <f>Parametros!$C$51+Parametros!$C$52+Parametros!$C$53+Parametros!$C$54+Parametros!$C$55+Parametros!$C$56+Parametros!$C$57+Parametros!$C$58+Parametros!$C$59+Parametros!$C$60+Parametros!$C$64+Parametros!$C$61+Parametros!$C$62+Parametros!$C$65+Parametros!$C$63</f>
        <v>456</v>
      </c>
      <c r="F27" s="39">
        <f t="shared" si="0"/>
        <v>459.73333333333335</v>
      </c>
      <c r="G27" s="40">
        <f>(Parametros!$B$51/60*Parametros!$B$40)+(Parametros!$B$52/60*Parametros!$B$40)+(Parametros!$B$53/60*Parametros!$B$40)+(Parametros!$B$54/60*Parametros!$B$40)+(Parametros!$B$55/60*Parametros!$B$43)+(Parametros!$B$56/60*Parametros!$B$41)+(Parametros!$B$57/60*Parametros!$B$40)+(Parametros!$B$60/60*Parametros!$B$42)+(Parametros!$B$64/60*Parametros!$B$45)+(Parametros!$B$61/60*Parametros!$B$42)+(Parametros!$B$62/60*Parametros!$B$44)+(Parametros!$B$63/60*Parametros!$B$44)+(22/60*Parametros!$B$40)+(15/60*Parametros!$B$44)+Parametros!$B$46+Parametros!$B$47</f>
        <v>35710</v>
      </c>
      <c r="H27" s="39">
        <f t="shared" si="1"/>
        <v>1.2200603184000001</v>
      </c>
      <c r="I27" s="40">
        <f t="shared" si="2"/>
        <v>94.768751385000002</v>
      </c>
      <c r="J27" s="39">
        <f t="shared" si="3"/>
        <v>0.59446094400000005</v>
      </c>
      <c r="K27" s="43" t="s">
        <v>100</v>
      </c>
      <c r="L27" s="43" t="s">
        <v>94</v>
      </c>
      <c r="M27" s="43" t="s">
        <v>92</v>
      </c>
      <c r="N27" s="42" t="s">
        <v>90</v>
      </c>
    </row>
    <row r="28" spans="1:14" ht="15" customHeight="1" x14ac:dyDescent="0.25">
      <c r="A28" s="36">
        <v>25</v>
      </c>
      <c r="B28" s="37" t="s">
        <v>116</v>
      </c>
      <c r="C28" s="38">
        <f>Parametros!$B$68*Parametros!$B$71*Parametros!$B$73*Parametros!$B$78*Parametros!$B$76*Parametros!$B$77</f>
        <v>1.1499988500000004E-2</v>
      </c>
      <c r="D28" s="39">
        <f>Parametros!$B$51+Parametros!$B$52+Parametros!$B$53+Parametros!$B$54+Parametros!$B$55+Parametros!$B$56+Parametros!$B$57+Parametros!$B$58+Parametros!$B$59+Parametros!$B$60+Parametros!$B$61+Parametros!$B$62+Parametros!$B$63</f>
        <v>122</v>
      </c>
      <c r="E28" s="39">
        <f>Parametros!$C$51+Parametros!$C$52+Parametros!$C$53+Parametros!$C$54+Parametros!$C$55+Parametros!$C$56+Parametros!$C$57+Parametros!$C$58+Parametros!$C$59+Parametros!$C$60+Parametros!$C$61+Parametros!$C$62+Parametros!$C$63</f>
        <v>312</v>
      </c>
      <c r="F28" s="39">
        <f t="shared" si="0"/>
        <v>314.03333333333336</v>
      </c>
      <c r="G28" s="40">
        <f>(Parametros!$B$51/60*Parametros!$B$40)+(Parametros!$B$52/60*Parametros!$B$40)+(Parametros!$B$53/60*Parametros!$B$40)+(Parametros!$B$54/60*Parametros!$B$40)+(Parametros!$B$55/60*Parametros!$B$43)+(Parametros!$B$56/60*Parametros!$B$41)+(Parametros!$B$57/60*Parametros!$B$40)+(Parametros!$B$60/60*Parametros!$B$42)+(Parametros!$B$61/60*Parametros!$B$42)+(Parametros!$B$62/60*Parametros!$B$44)+(Parametros!$B$63/60*Parametros!$B$44)+Parametros!$B$46+Parametros!$B$47</f>
        <v>21926.666666666664</v>
      </c>
      <c r="H28" s="39">
        <f t="shared" si="1"/>
        <v>3.6113797219500015</v>
      </c>
      <c r="I28" s="40">
        <f t="shared" si="2"/>
        <v>252.15641451000008</v>
      </c>
      <c r="J28" s="39">
        <f t="shared" si="3"/>
        <v>1.4029985970000005</v>
      </c>
      <c r="K28" s="43" t="s">
        <v>100</v>
      </c>
      <c r="L28" s="43" t="s">
        <v>97</v>
      </c>
      <c r="M28" s="43" t="s">
        <v>89</v>
      </c>
      <c r="N28" s="42" t="s">
        <v>90</v>
      </c>
    </row>
    <row r="29" spans="1:14" ht="15" customHeight="1" x14ac:dyDescent="0.25">
      <c r="A29" s="36">
        <v>26</v>
      </c>
      <c r="B29" s="37" t="s">
        <v>117</v>
      </c>
      <c r="C29" s="38">
        <f>Parametros!$B$68*Parametros!$B$71*Parametros!$B$73*Parametros!$B$78*Parametros!$B$76*Parametros!$B$33</f>
        <v>1.1373615000000003E-3</v>
      </c>
      <c r="D29" s="39">
        <f>Parametros!$B$51+Parametros!$B$52+Parametros!$B$53+Parametros!$B$54+Parametros!$B$55+Parametros!$B$56+Parametros!$B$57+Parametros!$B$58+Parametros!$B$59+Parametros!$B$60+Parametros!$B$61+Parametros!$B$62+Parametros!$B$65+Parametros!$B$63</f>
        <v>159</v>
      </c>
      <c r="E29" s="39">
        <f>Parametros!$C$51+Parametros!$C$52+Parametros!$C$53+Parametros!$C$54+Parametros!$C$55+Parametros!$C$56+Parametros!$C$57+Parametros!$C$58+Parametros!$C$59+Parametros!$C$60+Parametros!$C$61+Parametros!$C$62+Parametros!$C$65+Parametros!$C$63</f>
        <v>336</v>
      </c>
      <c r="F29" s="39">
        <f t="shared" si="0"/>
        <v>338.65</v>
      </c>
      <c r="G29" s="40">
        <f>(Parametros!$B$51/60*Parametros!$B$40)+(Parametros!$B$52/60*Parametros!$B$40)+(Parametros!$B$53/60*Parametros!$B$40)+(Parametros!$B$54/60*Parametros!$B$40)+(Parametros!$B$55/60*Parametros!$B$43)+(Parametros!$B$56/60*Parametros!$B$41)+(Parametros!$B$57/60*Parametros!$B$40)+(Parametros!$B$60/60*Parametros!$B$42)+(Parametros!$B$61/60*Parametros!$B$42)+(Parametros!$B$62/60*Parametros!$B$44)+(Parametros!$B$63/60*Parametros!$B$44)+(22/60*Parametros!$B$40)+(15/60*Parametros!$B$44)+Parametros!$B$46+Parametros!$B$47</f>
        <v>26609.999999999996</v>
      </c>
      <c r="H29" s="39">
        <f t="shared" si="1"/>
        <v>0.38516747197500006</v>
      </c>
      <c r="I29" s="40">
        <f t="shared" si="2"/>
        <v>30.265189515000003</v>
      </c>
      <c r="J29" s="39">
        <f t="shared" si="3"/>
        <v>0.18084047850000004</v>
      </c>
      <c r="K29" s="43" t="s">
        <v>100</v>
      </c>
      <c r="L29" s="43" t="s">
        <v>97</v>
      </c>
      <c r="M29" s="43" t="s">
        <v>92</v>
      </c>
      <c r="N29" s="42" t="s">
        <v>90</v>
      </c>
    </row>
    <row r="30" spans="1:14" ht="15" customHeight="1" x14ac:dyDescent="0.25">
      <c r="A30" s="44"/>
      <c r="B30" s="45" t="s">
        <v>118</v>
      </c>
      <c r="C30" s="46">
        <f t="shared" ref="C30:J30" si="4">SUM(C4:C29)</f>
        <v>1</v>
      </c>
      <c r="D30" s="47">
        <f t="shared" si="4"/>
        <v>3603</v>
      </c>
      <c r="E30" s="47">
        <f t="shared" si="4"/>
        <v>7360</v>
      </c>
      <c r="F30" s="47">
        <f t="shared" si="4"/>
        <v>7420.0500000000011</v>
      </c>
      <c r="G30" s="48">
        <f t="shared" si="4"/>
        <v>548265</v>
      </c>
      <c r="H30" s="47">
        <f t="shared" si="4"/>
        <v>202.48886009666668</v>
      </c>
      <c r="I30" s="48">
        <f t="shared" si="4"/>
        <v>14301.248086666663</v>
      </c>
      <c r="J30" s="47">
        <f t="shared" si="4"/>
        <v>91.448309800000018</v>
      </c>
      <c r="K30" s="49"/>
      <c r="L30" s="49"/>
      <c r="M30" s="49"/>
      <c r="N30" s="50"/>
    </row>
    <row r="32" spans="1:14" ht="15.75" customHeight="1" x14ac:dyDescent="0.25">
      <c r="N32" s="51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zoomScaleNormal="100" workbookViewId="0">
      <selection activeCell="E17" sqref="E17"/>
    </sheetView>
  </sheetViews>
  <sheetFormatPr baseColWidth="10" defaultColWidth="8.7109375" defaultRowHeight="15" x14ac:dyDescent="0.25"/>
  <cols>
    <col min="1" max="1" width="2.140625" customWidth="1"/>
    <col min="2" max="2" width="63.42578125" customWidth="1"/>
    <col min="3" max="3" width="71.5703125" customWidth="1"/>
    <col min="4" max="4" width="14.85546875" customWidth="1"/>
    <col min="5" max="5" width="55" customWidth="1"/>
  </cols>
  <sheetData>
    <row r="1" spans="1:5" ht="15.75" customHeight="1" x14ac:dyDescent="0.25">
      <c r="A1" s="1"/>
    </row>
    <row r="2" spans="1:5" ht="15.75" customHeight="1" x14ac:dyDescent="0.25"/>
    <row r="3" spans="1:5" ht="15" customHeight="1" x14ac:dyDescent="0.25">
      <c r="A3" s="52" t="s">
        <v>70</v>
      </c>
      <c r="B3" s="35" t="s">
        <v>120</v>
      </c>
      <c r="C3" s="35" t="s">
        <v>121</v>
      </c>
      <c r="D3" s="35" t="s">
        <v>122</v>
      </c>
      <c r="E3" s="12" t="s">
        <v>123</v>
      </c>
    </row>
    <row r="4" spans="1:5" ht="31.5" customHeight="1" x14ac:dyDescent="0.25">
      <c r="A4" s="36">
        <v>1</v>
      </c>
      <c r="B4" s="53" t="s">
        <v>124</v>
      </c>
      <c r="C4" s="53" t="s">
        <v>125</v>
      </c>
      <c r="D4" s="54">
        <f>(SUMIF(Trazas!$N$4:$N$29,"exito",Trazas!$C$4:$C$29)*Parametros!$B$9)*Parametros!$B$56/60</f>
        <v>24.76656666666667</v>
      </c>
      <c r="E4" s="55">
        <f>(SUMIF(Trazas!$N$4:$N$29,"exito",Trazas!$C$4:$C$29)*Parametros!$B$9)*Parametros!$B$56/60*Parametros!$B$41</f>
        <v>272432.23333333334</v>
      </c>
    </row>
    <row r="5" spans="1:5" ht="15.75" customHeight="1" x14ac:dyDescent="0.25">
      <c r="A5" s="36">
        <v>2</v>
      </c>
      <c r="B5" s="53" t="s">
        <v>126</v>
      </c>
      <c r="C5" s="53" t="s">
        <v>127</v>
      </c>
      <c r="D5" s="54">
        <f>(SUMIF(Trazas!$N$4:$N$29,"exito",Trazas!$C$4:$C$29)*Parametros!$B$9)*Parametros!$C$56</f>
        <v>891.59640000000002</v>
      </c>
      <c r="E5" s="56" t="s">
        <v>128</v>
      </c>
    </row>
    <row r="6" spans="1:5" ht="32.25" customHeight="1" x14ac:dyDescent="0.25">
      <c r="A6" s="57">
        <v>3</v>
      </c>
      <c r="B6" s="58" t="s">
        <v>129</v>
      </c>
      <c r="C6" s="58" t="s">
        <v>130</v>
      </c>
      <c r="D6" s="59">
        <f>(SUMIF(Trazas!$N$4:$N$29,"exito",Trazas!$C$4:$C$29)*Parametros!$B$9)*Parametros!$B$62/60 + (SUMIF(Trazas!$M$4:$M$29,"si",Trazas!$C$4:$C$29)*Parametros!$B$9)*Parametros!$B$65/60</f>
        <v>30.537176700000003</v>
      </c>
      <c r="E6" s="60">
        <f>(SUMIF(Trazas!$N$4:$N$29,"exito",Trazas!$C$4:$C$29)*Parametros!$B$9)*Parametros!$B$62/60*Parametros!$B$44 + (SUMIF(Trazas!$M$4:$M$29,"si",Trazas!$C$4:$C$29)*Parametros!$B$9)*(22/60*Parametros!$B$40+15/60*Parametros!$B$44)</f>
        <v>267701.81910000002</v>
      </c>
    </row>
    <row r="8" spans="1:5" ht="15" customHeight="1" x14ac:dyDescent="0.25">
      <c r="B8" s="1" t="s">
        <v>131</v>
      </c>
    </row>
    <row r="9" spans="1:5" ht="15" customHeight="1" x14ac:dyDescent="0.25">
      <c r="B9" s="16" t="s">
        <v>132</v>
      </c>
      <c r="C9" s="61">
        <f>Trazas!H30</f>
        <v>202.48886009666668</v>
      </c>
    </row>
    <row r="10" spans="1:5" ht="15" customHeight="1" x14ac:dyDescent="0.25">
      <c r="B10" s="14" t="s">
        <v>133</v>
      </c>
      <c r="C10" s="62">
        <f>C9/24</f>
        <v>8.4370358373611118</v>
      </c>
    </row>
    <row r="11" spans="1:5" ht="15" customHeight="1" x14ac:dyDescent="0.25">
      <c r="B11" s="1" t="s">
        <v>134</v>
      </c>
    </row>
    <row r="12" spans="1:5" ht="15" customHeight="1" x14ac:dyDescent="0.25">
      <c r="B12" s="16" t="s">
        <v>135</v>
      </c>
      <c r="C12" s="61">
        <f>Trazas!J30/60</f>
        <v>1.5241384966666669</v>
      </c>
    </row>
    <row r="13" spans="1:5" ht="15" customHeight="1" x14ac:dyDescent="0.25">
      <c r="B13" s="14" t="s">
        <v>136</v>
      </c>
      <c r="C13" s="63">
        <f>$C$12/$C$9</f>
        <v>7.5270239357318443E-3</v>
      </c>
    </row>
    <row r="14" spans="1:5" ht="15" customHeight="1" x14ac:dyDescent="0.25">
      <c r="B14" s="1" t="s">
        <v>137</v>
      </c>
    </row>
    <row r="15" spans="1:5" ht="15" customHeight="1" x14ac:dyDescent="0.25">
      <c r="B15" s="16" t="s">
        <v>138</v>
      </c>
      <c r="C15" s="64">
        <f>Trazas!I30</f>
        <v>14301.248086666663</v>
      </c>
    </row>
    <row r="16" spans="1:5" ht="15" customHeight="1" x14ac:dyDescent="0.25">
      <c r="B16" s="14" t="s">
        <v>139</v>
      </c>
      <c r="C16" s="65">
        <f>$C$15*Parametros!$B$9</f>
        <v>3074768.3386333324</v>
      </c>
    </row>
    <row r="17" spans="2:3" ht="15" customHeight="1" x14ac:dyDescent="0.25">
      <c r="B17" s="1" t="s">
        <v>140</v>
      </c>
    </row>
    <row r="18" spans="2:3" ht="15" customHeight="1" x14ac:dyDescent="0.25">
      <c r="B18" s="22" t="s">
        <v>141</v>
      </c>
      <c r="C18" s="24" t="s">
        <v>142</v>
      </c>
    </row>
    <row r="19" spans="2:3" ht="15" customHeight="1" x14ac:dyDescent="0.25">
      <c r="B19" s="25" t="s">
        <v>143</v>
      </c>
      <c r="C19" s="66">
        <f>Parametros!$B$69*Parametros!$B$9</f>
        <v>55.9</v>
      </c>
    </row>
    <row r="20" spans="2:3" ht="15" customHeight="1" x14ac:dyDescent="0.25">
      <c r="B20" s="13" t="s">
        <v>144</v>
      </c>
      <c r="C20" s="67">
        <f>Trazas!C5*Parametros!$B$9</f>
        <v>10.5006</v>
      </c>
    </row>
    <row r="21" spans="2:3" ht="15" customHeight="1" x14ac:dyDescent="0.25">
      <c r="B21" s="13" t="s">
        <v>145</v>
      </c>
      <c r="C21" s="67">
        <f>SUM(Trazas!C6:C29)*Parametros!$B$9</f>
        <v>148.5994</v>
      </c>
    </row>
    <row r="22" spans="2:3" ht="15" customHeight="1" x14ac:dyDescent="0.25">
      <c r="B22" s="13" t="s">
        <v>146</v>
      </c>
      <c r="C22" s="67">
        <f>SUMIF(Trazas!$K$4:$K$29,"tienda",Trazas!$C$4:$C$29)*Parametros!$B$9</f>
        <v>74.299699999999987</v>
      </c>
    </row>
    <row r="23" spans="2:3" ht="15" customHeight="1" x14ac:dyDescent="0.25">
      <c r="B23" s="14" t="s">
        <v>147</v>
      </c>
      <c r="C23" s="68">
        <f>SUMIF(Trazas!$K$4:$K$29,"courier",Trazas!$C$4:$C$29)*Parametros!$B$9</f>
        <v>74.299699999999987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43"/>
  <sheetViews>
    <sheetView tabSelected="1" zoomScaleNormal="100" workbookViewId="0">
      <selection activeCell="F14" sqref="F14"/>
    </sheetView>
  </sheetViews>
  <sheetFormatPr baseColWidth="10" defaultColWidth="8.7109375" defaultRowHeight="15" x14ac:dyDescent="0.25"/>
  <cols>
    <col min="1" max="1" width="3.28515625" customWidth="1"/>
    <col min="2" max="2" width="88.7109375" customWidth="1"/>
    <col min="3" max="3" width="52.140625" bestFit="1" customWidth="1"/>
    <col min="4" max="4" width="51.7109375" bestFit="1" customWidth="1"/>
    <col min="5" max="5" width="61.5703125" customWidth="1"/>
    <col min="6" max="6" width="24.7109375" customWidth="1"/>
    <col min="7" max="7" width="16.7109375" customWidth="1"/>
    <col min="8" max="8" width="9" customWidth="1"/>
    <col min="9" max="9" width="9.7109375" customWidth="1"/>
    <col min="10" max="10" width="15.7109375" customWidth="1"/>
    <col min="11" max="11" width="7" customWidth="1"/>
    <col min="12" max="12" width="9.140625" customWidth="1"/>
    <col min="13" max="13" width="19.140625" customWidth="1"/>
  </cols>
  <sheetData>
    <row r="2" spans="1:7" ht="15" customHeight="1" thickBot="1" x14ac:dyDescent="0.3">
      <c r="B2" s="1" t="s">
        <v>148</v>
      </c>
    </row>
    <row r="3" spans="1:7" ht="15.75" x14ac:dyDescent="0.25">
      <c r="A3" s="69" t="s">
        <v>70</v>
      </c>
      <c r="B3" s="70" t="s">
        <v>149</v>
      </c>
      <c r="C3" s="70" t="s">
        <v>150</v>
      </c>
      <c r="D3" s="70" t="s">
        <v>151</v>
      </c>
      <c r="E3" s="70" t="s">
        <v>152</v>
      </c>
      <c r="F3" s="70" t="s">
        <v>153</v>
      </c>
      <c r="G3" s="71" t="s">
        <v>154</v>
      </c>
    </row>
    <row r="4" spans="1:7" ht="63" x14ac:dyDescent="0.25">
      <c r="A4" s="36">
        <v>1</v>
      </c>
      <c r="B4" s="72" t="s">
        <v>155</v>
      </c>
      <c r="C4" s="72" t="s">
        <v>211</v>
      </c>
      <c r="D4" s="28" t="s">
        <v>156</v>
      </c>
      <c r="E4" s="73" t="s">
        <v>157</v>
      </c>
      <c r="F4" s="74">
        <f>Problemas!D4+Problemas!D5</f>
        <v>916.36296666666669</v>
      </c>
      <c r="G4" s="5">
        <f>Problemas!E4</f>
        <v>272432.23333333334</v>
      </c>
    </row>
    <row r="5" spans="1:7" ht="63" x14ac:dyDescent="0.25">
      <c r="A5" s="36">
        <v>2</v>
      </c>
      <c r="B5" s="72" t="s">
        <v>158</v>
      </c>
      <c r="C5" s="72" t="s">
        <v>212</v>
      </c>
      <c r="D5" s="28" t="s">
        <v>156</v>
      </c>
      <c r="E5" s="73" t="s">
        <v>159</v>
      </c>
      <c r="F5" s="74">
        <f>(SUMIF(Trazas!$N$4:$N$29,"exito",Trazas!$C$4:$C$29)*Parametros!$B$9)*(Parametros!$B$62/60+Parametros!$C$62)+(SUMIF(Trazas!$M$4:$M$29,"si",Trazas!$C$4:$C$29)*Parametros!$B$9)*(Parametros!$B$65/60+Parametros!$C$65)</f>
        <v>1243.1082807000003</v>
      </c>
      <c r="G5" s="5">
        <f>Problemas!E6</f>
        <v>267701.81910000002</v>
      </c>
    </row>
    <row r="6" spans="1:7" ht="63" x14ac:dyDescent="0.25">
      <c r="A6" s="36">
        <v>3</v>
      </c>
      <c r="B6" s="72" t="s">
        <v>160</v>
      </c>
      <c r="C6" s="72" t="s">
        <v>213</v>
      </c>
      <c r="D6" s="28" t="s">
        <v>161</v>
      </c>
      <c r="E6" s="73" t="s">
        <v>162</v>
      </c>
      <c r="F6" s="74">
        <f>(SUMIF(Trazas!$N$4:$N$29,"exito",Trazas!$C$4:$C$29)*Parametros!$B$9)*(Parametros!$C$63-'Parte C'!$D$15)</f>
        <v>10699.156800000001</v>
      </c>
      <c r="G6" s="5">
        <v>0</v>
      </c>
    </row>
    <row r="7" spans="1:7" ht="78.75" x14ac:dyDescent="0.25">
      <c r="A7" s="36">
        <v>4</v>
      </c>
      <c r="B7" s="72" t="s">
        <v>163</v>
      </c>
      <c r="C7" s="72" t="s">
        <v>214</v>
      </c>
      <c r="D7" s="28" t="s">
        <v>164</v>
      </c>
      <c r="E7" s="73" t="s">
        <v>165</v>
      </c>
      <c r="F7" s="74">
        <v>0</v>
      </c>
      <c r="G7" s="5">
        <v>0</v>
      </c>
    </row>
    <row r="8" spans="1:7" ht="51.75" customHeight="1" thickBot="1" x14ac:dyDescent="0.3">
      <c r="A8" s="57">
        <v>5</v>
      </c>
      <c r="B8" s="75" t="s">
        <v>166</v>
      </c>
      <c r="C8" s="75" t="s">
        <v>167</v>
      </c>
      <c r="D8" s="29" t="s">
        <v>156</v>
      </c>
      <c r="E8" s="75" t="s">
        <v>168</v>
      </c>
      <c r="F8" s="76">
        <f>Parametros!$B$68*Parametros!$B$9*(Parametros!$C$53+Parametros!$B$53/60)</f>
        <v>7650.0583333333334</v>
      </c>
      <c r="G8" s="21">
        <f>Parametros!$B$68*Parametros!$B$9*Parametros!$B$53/60*Parametros!$B$40</f>
        <v>86179.166666666657</v>
      </c>
    </row>
    <row r="9" spans="1:7" ht="15" customHeight="1" x14ac:dyDescent="0.25"/>
    <row r="10" spans="1:7" ht="15" customHeight="1" thickBot="1" x14ac:dyDescent="0.3">
      <c r="B10" s="1" t="s">
        <v>169</v>
      </c>
    </row>
    <row r="11" spans="1:7" ht="15" customHeight="1" x14ac:dyDescent="0.25">
      <c r="B11" s="69" t="s">
        <v>40</v>
      </c>
      <c r="C11" s="70" t="s">
        <v>170</v>
      </c>
      <c r="D11" s="70" t="s">
        <v>171</v>
      </c>
      <c r="E11" s="71" t="s">
        <v>172</v>
      </c>
    </row>
    <row r="12" spans="1:7" ht="15" customHeight="1" x14ac:dyDescent="0.25">
      <c r="B12" s="77" t="s">
        <v>48</v>
      </c>
      <c r="C12" s="28" t="s">
        <v>173</v>
      </c>
      <c r="D12" s="28" t="s">
        <v>174</v>
      </c>
      <c r="E12" s="78" t="s">
        <v>175</v>
      </c>
    </row>
    <row r="13" spans="1:7" ht="15" customHeight="1" x14ac:dyDescent="0.25">
      <c r="B13" s="77" t="s">
        <v>176</v>
      </c>
      <c r="C13" s="28" t="s">
        <v>177</v>
      </c>
      <c r="D13" s="28" t="s">
        <v>174</v>
      </c>
      <c r="E13" s="78" t="s">
        <v>178</v>
      </c>
    </row>
    <row r="14" spans="1:7" ht="26.25" customHeight="1" x14ac:dyDescent="0.25">
      <c r="B14" s="77" t="s">
        <v>179</v>
      </c>
      <c r="C14" s="28" t="s">
        <v>180</v>
      </c>
      <c r="D14" s="28" t="s">
        <v>181</v>
      </c>
      <c r="E14" s="78" t="s">
        <v>178</v>
      </c>
    </row>
    <row r="15" spans="1:7" ht="26.25" customHeight="1" x14ac:dyDescent="0.25">
      <c r="B15" s="77" t="s">
        <v>182</v>
      </c>
      <c r="C15" s="28" t="s">
        <v>183</v>
      </c>
      <c r="D15" s="28">
        <v>12</v>
      </c>
      <c r="E15" s="97" t="s">
        <v>215</v>
      </c>
    </row>
    <row r="16" spans="1:7" ht="15" customHeight="1" thickBot="1" x14ac:dyDescent="0.3">
      <c r="B16" s="79" t="s">
        <v>45</v>
      </c>
      <c r="C16" s="29" t="s">
        <v>184</v>
      </c>
      <c r="D16" s="29" t="s">
        <v>185</v>
      </c>
      <c r="E16" s="80" t="s">
        <v>186</v>
      </c>
    </row>
    <row r="17" spans="1:13" ht="15.75" customHeight="1" x14ac:dyDescent="0.25"/>
    <row r="18" spans="1:13" ht="15" customHeight="1" x14ac:dyDescent="0.25">
      <c r="B18" s="1" t="s">
        <v>187</v>
      </c>
    </row>
    <row r="19" spans="1:13" ht="15" customHeight="1" x14ac:dyDescent="0.25">
      <c r="A19" s="69" t="s">
        <v>70</v>
      </c>
      <c r="B19" s="70" t="s">
        <v>188</v>
      </c>
      <c r="C19" s="70" t="s">
        <v>72</v>
      </c>
      <c r="D19" s="70" t="s">
        <v>41</v>
      </c>
      <c r="E19" s="70" t="s">
        <v>42</v>
      </c>
      <c r="F19" s="70" t="s">
        <v>73</v>
      </c>
      <c r="G19" s="70" t="s">
        <v>74</v>
      </c>
      <c r="H19" s="81" t="s">
        <v>75</v>
      </c>
      <c r="I19" s="81" t="s">
        <v>76</v>
      </c>
      <c r="J19" s="70" t="s">
        <v>77</v>
      </c>
      <c r="K19" s="70" t="s">
        <v>78</v>
      </c>
      <c r="L19" s="70" t="s">
        <v>79</v>
      </c>
      <c r="M19" s="71" t="s">
        <v>81</v>
      </c>
    </row>
    <row r="20" spans="1:13" ht="15" customHeight="1" x14ac:dyDescent="0.25">
      <c r="A20" s="31">
        <v>1</v>
      </c>
      <c r="B20" s="82" t="s">
        <v>82</v>
      </c>
      <c r="C20" s="83">
        <f>Parametros!$B$69</f>
        <v>0.26</v>
      </c>
      <c r="D20" s="74">
        <f>Parametros!$B$51+Parametros!$B$52</f>
        <v>20</v>
      </c>
      <c r="E20" s="74">
        <f>Parametros!$C$51+Parametros!$C$52</f>
        <v>6</v>
      </c>
      <c r="F20" s="74">
        <f t="shared" ref="F20:F33" si="0">D20/60+E20</f>
        <v>6.333333333333333</v>
      </c>
      <c r="G20" s="84">
        <f>(Parametros!$B$51/60*Parametros!$B$40)+(Parametros!$B$52/60*Parametros!$B$40)</f>
        <v>2166.6666666666665</v>
      </c>
      <c r="H20" s="74">
        <f t="shared" ref="H20:H33" si="1">C20*F20</f>
        <v>1.6466666666666667</v>
      </c>
      <c r="I20" s="84">
        <f t="shared" ref="I20:I33" si="2">C20*G20</f>
        <v>563.33333333333326</v>
      </c>
      <c r="J20" s="74">
        <f t="shared" ref="J20:J33" si="3">C20*D20</f>
        <v>5.2</v>
      </c>
      <c r="K20" s="85"/>
      <c r="L20" s="85"/>
      <c r="M20" s="78" t="s">
        <v>83</v>
      </c>
    </row>
    <row r="21" spans="1:13" ht="15" customHeight="1" x14ac:dyDescent="0.25">
      <c r="A21" s="31">
        <v>2</v>
      </c>
      <c r="B21" s="82" t="s">
        <v>189</v>
      </c>
      <c r="C21" s="83">
        <f>Parametros!$B$68*Parametros!$B$71*Parametros!$B$31</f>
        <v>4.8840000000000001E-2</v>
      </c>
      <c r="D21" s="74">
        <f>Parametros!$B$51+Parametros!$B$52+Parametros!$B$54+Parametros!$B$55</f>
        <v>34</v>
      </c>
      <c r="E21" s="74">
        <f>Parametros!$C$51+Parametros!$C$52+Parametros!$C$54+Parametros!$C$55</f>
        <v>58</v>
      </c>
      <c r="F21" s="74">
        <f t="shared" si="0"/>
        <v>58.56666666666667</v>
      </c>
      <c r="G21" s="84">
        <f>(Parametros!$B$51/60*Parametros!$B$40)+(Parametros!$B$52/60*Parametros!$B$40)+(Parametros!$B$54/60*Parametros!$B$40)+(Parametros!$B$55/60*Parametros!$B$43)</f>
        <v>5216.6666666666661</v>
      </c>
      <c r="H21" s="74">
        <f t="shared" si="1"/>
        <v>2.8603960000000002</v>
      </c>
      <c r="I21" s="84">
        <f t="shared" si="2"/>
        <v>254.78199999999998</v>
      </c>
      <c r="J21" s="74">
        <f t="shared" si="3"/>
        <v>1.66056</v>
      </c>
      <c r="K21" s="85"/>
      <c r="L21" s="85"/>
      <c r="M21" s="78" t="s">
        <v>190</v>
      </c>
    </row>
    <row r="22" spans="1:13" ht="15" customHeight="1" x14ac:dyDescent="0.25">
      <c r="A22" s="31">
        <v>3</v>
      </c>
      <c r="B22" s="82" t="s">
        <v>191</v>
      </c>
      <c r="C22" s="83">
        <f>Parametros!$B$68*Parametros!$B$72*Parametros!$B$36*Parametros!$B$74</f>
        <v>5.5037499999999975E-2</v>
      </c>
      <c r="D22" s="74">
        <f>Parametros!$B$51+Parametros!$B$52+Parametros!$B$59+Parametros!$B$60+Parametros!$B$61+Parametros!$B$63</f>
        <v>69</v>
      </c>
      <c r="E22" s="74">
        <f>Parametros!$C$51+Parametros!$C$52+Parametros!$C$59+Parametros!$C$60+Parametros!$C$61+'Parte C'!$D$15</f>
        <v>56</v>
      </c>
      <c r="F22" s="74">
        <f t="shared" si="0"/>
        <v>57.15</v>
      </c>
      <c r="G22" s="84">
        <f>(Parametros!$B$51/60*Parametros!$B$40)+(Parametros!$B$52/60*Parametros!$B$40)+(Parametros!$B$60/60*Parametros!$B$42)+(Parametros!$B$61/60*Parametros!$B$42)+(Parametros!$B$63/60*Parametros!$B$44)+Parametros!$B$47</f>
        <v>8596.6666666666679</v>
      </c>
      <c r="H22" s="74">
        <f t="shared" si="1"/>
        <v>3.1453931249999987</v>
      </c>
      <c r="I22" s="84">
        <f t="shared" si="2"/>
        <v>473.13904166666651</v>
      </c>
      <c r="J22" s="74">
        <f t="shared" si="3"/>
        <v>3.7975874999999983</v>
      </c>
      <c r="K22" s="82" t="s">
        <v>87</v>
      </c>
      <c r="L22" s="82" t="s">
        <v>88</v>
      </c>
      <c r="M22" s="78" t="s">
        <v>90</v>
      </c>
    </row>
    <row r="23" spans="1:13" ht="15" customHeight="1" x14ac:dyDescent="0.25">
      <c r="A23" s="31">
        <v>4</v>
      </c>
      <c r="B23" s="82" t="s">
        <v>192</v>
      </c>
      <c r="C23" s="83">
        <f>Parametros!$B$68*Parametros!$B$72*Parametros!$B$36*Parametros!$B$75</f>
        <v>6.7987499999999984E-3</v>
      </c>
      <c r="D23" s="74">
        <f>Parametros!$B$51+Parametros!$B$52+Parametros!$B$59+Parametros!$B$60+Parametros!$B$64+Parametros!$B$61+Parametros!$B$63</f>
        <v>134</v>
      </c>
      <c r="E23" s="74">
        <f>Parametros!$C$51+Parametros!$C$52+Parametros!$C$59+Parametros!$C$60+Parametros!$C$64+Parametros!$C$61+'Parte C'!$D$15</f>
        <v>176</v>
      </c>
      <c r="F23" s="74">
        <f t="shared" si="0"/>
        <v>178.23333333333332</v>
      </c>
      <c r="G23" s="84">
        <f>(Parametros!$B$51/60*Parametros!$B$40)+(Parametros!$B$52/60*Parametros!$B$40)+(Parametros!$B$60/60*Parametros!$B$42)+(Parametros!$B$64/60*Parametros!$B$45)+(Parametros!$B$61/60*Parametros!$B$42)+(Parametros!$B$63/60*Parametros!$B$44)+Parametros!$B$47</f>
        <v>17696.666666666668</v>
      </c>
      <c r="H23" s="74">
        <f t="shared" si="1"/>
        <v>1.2117638749999997</v>
      </c>
      <c r="I23" s="84">
        <f t="shared" si="2"/>
        <v>120.31521249999997</v>
      </c>
      <c r="J23" s="74">
        <f t="shared" si="3"/>
        <v>0.9110324999999998</v>
      </c>
      <c r="K23" s="82" t="s">
        <v>87</v>
      </c>
      <c r="L23" s="82" t="s">
        <v>94</v>
      </c>
      <c r="M23" s="78" t="s">
        <v>90</v>
      </c>
    </row>
    <row r="24" spans="1:13" ht="15" customHeight="1" x14ac:dyDescent="0.25">
      <c r="A24" s="31">
        <v>5</v>
      </c>
      <c r="B24" s="82" t="s">
        <v>193</v>
      </c>
      <c r="C24" s="83">
        <f>Parametros!$B$68*Parametros!$B$72*Parametros!$B$36*Parametros!$B$76</f>
        <v>2.9137499999999997E-3</v>
      </c>
      <c r="D24" s="74">
        <f>Parametros!$B$51+Parametros!$B$52+Parametros!$B$59+Parametros!$B$60+Parametros!$B$61+Parametros!$B$63</f>
        <v>69</v>
      </c>
      <c r="E24" s="74">
        <f>Parametros!$C$51+Parametros!$C$52+Parametros!$C$59+Parametros!$C$60+Parametros!$C$61+'Parte C'!$D$15</f>
        <v>56</v>
      </c>
      <c r="F24" s="74">
        <f t="shared" si="0"/>
        <v>57.15</v>
      </c>
      <c r="G24" s="84">
        <f>(Parametros!$B$51/60*Parametros!$B$40)+(Parametros!$B$52/60*Parametros!$B$40)+(Parametros!$B$60/60*Parametros!$B$42)+(Parametros!$B$61/60*Parametros!$B$42)+(Parametros!$B$63/60*Parametros!$B$44)+Parametros!$B$47</f>
        <v>8596.6666666666679</v>
      </c>
      <c r="H24" s="74">
        <f t="shared" si="1"/>
        <v>0.16652081249999998</v>
      </c>
      <c r="I24" s="84">
        <f t="shared" si="2"/>
        <v>25.048537500000002</v>
      </c>
      <c r="J24" s="74">
        <f t="shared" si="3"/>
        <v>0.20104874999999997</v>
      </c>
      <c r="K24" s="82" t="s">
        <v>87</v>
      </c>
      <c r="L24" s="82" t="s">
        <v>97</v>
      </c>
      <c r="M24" s="78" t="s">
        <v>90</v>
      </c>
    </row>
    <row r="25" spans="1:13" ht="15" customHeight="1" x14ac:dyDescent="0.25">
      <c r="A25" s="31">
        <v>6</v>
      </c>
      <c r="B25" s="82" t="s">
        <v>194</v>
      </c>
      <c r="C25" s="83">
        <f>Parametros!$B$68*Parametros!$B$72*Parametros!$B$78*Parametros!$B$74</f>
        <v>5.5037499999999975E-2</v>
      </c>
      <c r="D25" s="74">
        <f>Parametros!$B$51+Parametros!$B$52+Parametros!$B$57+Parametros!$B$58+Parametros!$B$59+Parametros!$B$60+Parametros!$B$61+Parametros!$B$63</f>
        <v>84</v>
      </c>
      <c r="E25" s="74">
        <f>Parametros!$C$51+Parametros!$C$52+Parametros!$C$57+Parametros!$C$58+Parametros!$C$59+Parametros!$C$60+Parametros!$C$61+'Parte C'!$D$15</f>
        <v>128</v>
      </c>
      <c r="F25" s="74">
        <f t="shared" si="0"/>
        <v>129.4</v>
      </c>
      <c r="G25" s="84">
        <f>(Parametros!$B$51/60*Parametros!$B$40)+(Parametros!$B$52/60*Parametros!$B$40)+(Parametros!$B$57/60*Parametros!$B$40)+Parametros!$B$46+(Parametros!$B$60/60*Parametros!$B$42)+(Parametros!$B$61/60*Parametros!$B$42)+(Parametros!$B$63/60*Parametros!$B$44)+Parametros!$B$47</f>
        <v>15121.666666666664</v>
      </c>
      <c r="H25" s="74">
        <f t="shared" si="1"/>
        <v>7.1218524999999975</v>
      </c>
      <c r="I25" s="84">
        <f t="shared" si="2"/>
        <v>832.25872916666617</v>
      </c>
      <c r="J25" s="74">
        <f t="shared" si="3"/>
        <v>4.6231499999999981</v>
      </c>
      <c r="K25" s="82" t="s">
        <v>100</v>
      </c>
      <c r="L25" s="82" t="s">
        <v>88</v>
      </c>
      <c r="M25" s="78" t="s">
        <v>90</v>
      </c>
    </row>
    <row r="26" spans="1:13" ht="15" customHeight="1" x14ac:dyDescent="0.25">
      <c r="A26" s="31">
        <v>7</v>
      </c>
      <c r="B26" s="82" t="s">
        <v>195</v>
      </c>
      <c r="C26" s="83">
        <f>Parametros!$B$68*Parametros!$B$72*Parametros!$B$78*Parametros!$B$75</f>
        <v>6.7987499999999984E-3</v>
      </c>
      <c r="D26" s="74">
        <f>Parametros!$B$51+Parametros!$B$52+Parametros!$B$57+Parametros!$B$58+Parametros!$B$59+Parametros!$B$60+Parametros!$B$64+Parametros!$B$61+Parametros!$B$63</f>
        <v>149</v>
      </c>
      <c r="E26" s="74">
        <f>Parametros!$C$51+Parametros!$C$52+Parametros!$C$57+Parametros!$C$58+Parametros!$C$59+Parametros!$C$60+Parametros!$C$64+Parametros!$C$61+'Parte C'!$D$15</f>
        <v>248</v>
      </c>
      <c r="F26" s="74">
        <f t="shared" si="0"/>
        <v>250.48333333333332</v>
      </c>
      <c r="G26" s="84">
        <f>(Parametros!$B$51/60*Parametros!$B$40)+(Parametros!$B$52/60*Parametros!$B$40)+(Parametros!$B$57/60*Parametros!$B$40)+Parametros!$B$46+(Parametros!$B$60/60*Parametros!$B$42)+(Parametros!$B$64/60*Parametros!$B$45)+(Parametros!$B$61/60*Parametros!$B$42)+(Parametros!$B$63/60*Parametros!$B$44)+Parametros!$B$47</f>
        <v>24221.666666666668</v>
      </c>
      <c r="H26" s="74">
        <f t="shared" si="1"/>
        <v>1.7029735624999995</v>
      </c>
      <c r="I26" s="84">
        <f t="shared" si="2"/>
        <v>164.67705624999996</v>
      </c>
      <c r="J26" s="74">
        <f t="shared" si="3"/>
        <v>1.0130137499999998</v>
      </c>
      <c r="K26" s="82" t="s">
        <v>100</v>
      </c>
      <c r="L26" s="82" t="s">
        <v>94</v>
      </c>
      <c r="M26" s="78" t="s">
        <v>90</v>
      </c>
    </row>
    <row r="27" spans="1:13" ht="15" customHeight="1" x14ac:dyDescent="0.25">
      <c r="A27" s="31">
        <v>8</v>
      </c>
      <c r="B27" s="82" t="s">
        <v>196</v>
      </c>
      <c r="C27" s="83">
        <f>Parametros!$B$68*Parametros!$B$72*Parametros!$B$78*Parametros!$B$76</f>
        <v>2.9137499999999997E-3</v>
      </c>
      <c r="D27" s="74">
        <f>Parametros!$B$51+Parametros!$B$52+Parametros!$B$57+Parametros!$B$58+Parametros!$B$59+Parametros!$B$60+Parametros!$B$61+Parametros!$B$63</f>
        <v>84</v>
      </c>
      <c r="E27" s="74">
        <f>Parametros!$C$51+Parametros!$C$52+Parametros!$C$57+Parametros!$C$58+Parametros!$C$59+Parametros!$C$60+Parametros!$C$61+'Parte C'!$D$15</f>
        <v>128</v>
      </c>
      <c r="F27" s="74">
        <f t="shared" si="0"/>
        <v>129.4</v>
      </c>
      <c r="G27" s="84">
        <f>(Parametros!$B$51/60*Parametros!$B$40)+(Parametros!$B$52/60*Parametros!$B$40)+(Parametros!$B$57/60*Parametros!$B$40)+Parametros!$B$46+(Parametros!$B$60/60*Parametros!$B$42)+(Parametros!$B$61/60*Parametros!$B$42)+(Parametros!$B$63/60*Parametros!$B$44)+Parametros!$B$47</f>
        <v>15121.666666666664</v>
      </c>
      <c r="H27" s="74">
        <f t="shared" si="1"/>
        <v>0.37703924999999999</v>
      </c>
      <c r="I27" s="84">
        <f t="shared" si="2"/>
        <v>44.06075624999999</v>
      </c>
      <c r="J27" s="74">
        <f t="shared" si="3"/>
        <v>0.24475499999999997</v>
      </c>
      <c r="K27" s="82" t="s">
        <v>100</v>
      </c>
      <c r="L27" s="82" t="s">
        <v>97</v>
      </c>
      <c r="M27" s="78" t="s">
        <v>90</v>
      </c>
    </row>
    <row r="28" spans="1:13" ht="15" customHeight="1" x14ac:dyDescent="0.25">
      <c r="A28" s="31">
        <v>9</v>
      </c>
      <c r="B28" s="82" t="s">
        <v>197</v>
      </c>
      <c r="C28" s="83">
        <f>Parametros!$B$68*Parametros!$B$71*Parametros!$B$73*Parametros!$B$36*Parametros!$B$74</f>
        <v>0.23870550000000001</v>
      </c>
      <c r="D28" s="74">
        <f>Parametros!$B$51+Parametros!$B$52+Parametros!$B$54+Parametros!$B$55+Parametros!$B$59+Parametros!$B$60+Parametros!$B$61+Parametros!$B$63</f>
        <v>83</v>
      </c>
      <c r="E28" s="74">
        <f>Parametros!$C$51+Parametros!$C$52+Parametros!$C$54+Parametros!$C$55+Parametros!$C$59+Parametros!$C$60+Parametros!$C$61+'Parte C'!$D$15</f>
        <v>108</v>
      </c>
      <c r="F28" s="74">
        <f t="shared" si="0"/>
        <v>109.38333333333334</v>
      </c>
      <c r="G28" s="84">
        <f>(Parametros!$B$51/60*Parametros!$B$40)+(Parametros!$B$52/60*Parametros!$B$40)+(Parametros!$B$54/60*Parametros!$B$40)+(Parametros!$B$55/60*Parametros!$B$43)+(Parametros!$B$60/60*Parametros!$B$42)+(Parametros!$B$61/60*Parametros!$B$42)+(Parametros!$B$63/60*Parametros!$B$44)+Parametros!$B$47</f>
        <v>11646.666666666666</v>
      </c>
      <c r="H28" s="74">
        <f t="shared" si="1"/>
        <v>26.110403275000003</v>
      </c>
      <c r="I28" s="84">
        <f t="shared" si="2"/>
        <v>2780.1233900000002</v>
      </c>
      <c r="J28" s="74">
        <f t="shared" si="3"/>
        <v>19.812556499999999</v>
      </c>
      <c r="K28" s="82" t="s">
        <v>87</v>
      </c>
      <c r="L28" s="82" t="s">
        <v>88</v>
      </c>
      <c r="M28" s="78" t="s">
        <v>90</v>
      </c>
    </row>
    <row r="29" spans="1:13" ht="15" customHeight="1" x14ac:dyDescent="0.25">
      <c r="A29" s="31">
        <v>10</v>
      </c>
      <c r="B29" s="82" t="s">
        <v>198</v>
      </c>
      <c r="C29" s="83">
        <f>Parametros!$B$68*Parametros!$B$71*Parametros!$B$73*Parametros!$B$36*Parametros!$B$75</f>
        <v>2.9487150000000004E-2</v>
      </c>
      <c r="D29" s="74">
        <f>Parametros!$B$51+Parametros!$B$52+Parametros!$B$54+Parametros!$B$55+Parametros!$B$59+Parametros!$B$60+Parametros!$B$64+Parametros!$B$61+Parametros!$B$63</f>
        <v>148</v>
      </c>
      <c r="E29" s="74">
        <f>Parametros!$C$51+Parametros!$C$52+Parametros!$C$54+Parametros!$C$55+Parametros!$C$59+Parametros!$C$60+Parametros!$C$64+Parametros!$C$61+'Parte C'!$D$15</f>
        <v>228</v>
      </c>
      <c r="F29" s="74">
        <f t="shared" si="0"/>
        <v>230.46666666666667</v>
      </c>
      <c r="G29" s="84">
        <f>(Parametros!$B$51/60*Parametros!$B$40)+(Parametros!$B$52/60*Parametros!$B$40)+(Parametros!$B$54/60*Parametros!$B$40)+(Parametros!$B$55/60*Parametros!$B$43)+(Parametros!$B$60/60*Parametros!$B$42)+(Parametros!$B$64/60*Parametros!$B$45)+(Parametros!$B$61/60*Parametros!$B$42)+(Parametros!$B$63/60*Parametros!$B$44)+Parametros!$B$47</f>
        <v>20746.666666666668</v>
      </c>
      <c r="H29" s="74">
        <f t="shared" si="1"/>
        <v>6.7958051700000013</v>
      </c>
      <c r="I29" s="84">
        <f t="shared" si="2"/>
        <v>611.76007200000015</v>
      </c>
      <c r="J29" s="74">
        <f t="shared" si="3"/>
        <v>4.3640982000000008</v>
      </c>
      <c r="K29" s="82" t="s">
        <v>87</v>
      </c>
      <c r="L29" s="82" t="s">
        <v>94</v>
      </c>
      <c r="M29" s="78" t="s">
        <v>90</v>
      </c>
    </row>
    <row r="30" spans="1:13" ht="15" customHeight="1" x14ac:dyDescent="0.25">
      <c r="A30" s="31">
        <v>11</v>
      </c>
      <c r="B30" s="82" t="s">
        <v>199</v>
      </c>
      <c r="C30" s="83">
        <f>Parametros!$B$68*Parametros!$B$71*Parametros!$B$73*Parametros!$B$36*Parametros!$B$76</f>
        <v>1.2637350000000004E-2</v>
      </c>
      <c r="D30" s="74">
        <f>Parametros!$B$51+Parametros!$B$52+Parametros!$B$54+Parametros!$B$55+Parametros!$B$59+Parametros!$B$60+Parametros!$B$61+Parametros!$B$63</f>
        <v>83</v>
      </c>
      <c r="E30" s="74">
        <f>Parametros!$C$51+Parametros!$C$52+Parametros!$C$54+Parametros!$C$55+Parametros!$C$59+Parametros!$C$60+Parametros!$C$61+'Parte C'!$D$15</f>
        <v>108</v>
      </c>
      <c r="F30" s="74">
        <f t="shared" si="0"/>
        <v>109.38333333333334</v>
      </c>
      <c r="G30" s="84">
        <f>(Parametros!$B$51/60*Parametros!$B$40)+(Parametros!$B$52/60*Parametros!$B$40)+(Parametros!$B$54/60*Parametros!$B$40)+(Parametros!$B$55/60*Parametros!$B$43)+(Parametros!$B$60/60*Parametros!$B$42)+(Parametros!$B$61/60*Parametros!$B$42)+(Parametros!$B$63/60*Parametros!$B$44)+Parametros!$B$47</f>
        <v>11646.666666666666</v>
      </c>
      <c r="H30" s="74">
        <f t="shared" si="1"/>
        <v>1.3823154675000004</v>
      </c>
      <c r="I30" s="84">
        <f t="shared" si="2"/>
        <v>147.18300300000004</v>
      </c>
      <c r="J30" s="74">
        <f t="shared" si="3"/>
        <v>1.0489000500000003</v>
      </c>
      <c r="K30" s="82" t="s">
        <v>87</v>
      </c>
      <c r="L30" s="82" t="s">
        <v>97</v>
      </c>
      <c r="M30" s="78" t="s">
        <v>90</v>
      </c>
    </row>
    <row r="31" spans="1:13" ht="15" customHeight="1" x14ac:dyDescent="0.25">
      <c r="A31" s="31">
        <v>12</v>
      </c>
      <c r="B31" s="82" t="s">
        <v>200</v>
      </c>
      <c r="C31" s="83">
        <f>Parametros!$B$68*Parametros!$B$71*Parametros!$B$73*Parametros!$B$78*Parametros!$B$74</f>
        <v>0.23870550000000001</v>
      </c>
      <c r="D31" s="74">
        <f>Parametros!$B$51+Parametros!$B$52+Parametros!$B$54+Parametros!$B$55+Parametros!$B$57+Parametros!$B$58+Parametros!$B$59+Parametros!$B$60+Parametros!$B$61+Parametros!$B$63</f>
        <v>98</v>
      </c>
      <c r="E31" s="74">
        <f>Parametros!$C$51+Parametros!$C$52+Parametros!$C$54+Parametros!$C$55+Parametros!$C$57+Parametros!$C$58+Parametros!$C$59+Parametros!$C$60+Parametros!$C$61+'Parte C'!$D$15</f>
        <v>180</v>
      </c>
      <c r="F31" s="74">
        <f t="shared" si="0"/>
        <v>181.63333333333333</v>
      </c>
      <c r="G31" s="84">
        <f>(Parametros!$B$51/60*Parametros!$B$40)+(Parametros!$B$52/60*Parametros!$B$40)+(Parametros!$B$54/60*Parametros!$B$40)+(Parametros!$B$55/60*Parametros!$B$43)+(Parametros!$B$57/60*Parametros!$B$40)+Parametros!$B$46+(Parametros!$B$60/60*Parametros!$B$42)+(Parametros!$B$61/60*Parametros!$B$42)+(Parametros!$B$63/60*Parametros!$B$44)+Parametros!$B$47</f>
        <v>18171.666666666664</v>
      </c>
      <c r="H31" s="74">
        <f t="shared" si="1"/>
        <v>43.356875649999999</v>
      </c>
      <c r="I31" s="84">
        <f t="shared" si="2"/>
        <v>4337.6767774999998</v>
      </c>
      <c r="J31" s="74">
        <f t="shared" si="3"/>
        <v>23.393139000000001</v>
      </c>
      <c r="K31" s="82" t="s">
        <v>100</v>
      </c>
      <c r="L31" s="82" t="s">
        <v>88</v>
      </c>
      <c r="M31" s="78" t="s">
        <v>90</v>
      </c>
    </row>
    <row r="32" spans="1:13" ht="15" customHeight="1" x14ac:dyDescent="0.25">
      <c r="A32" s="31">
        <v>13</v>
      </c>
      <c r="B32" s="82" t="s">
        <v>201</v>
      </c>
      <c r="C32" s="83">
        <f>Parametros!$B$68*Parametros!$B$71*Parametros!$B$73*Parametros!$B$78*Parametros!$B$75</f>
        <v>2.9487150000000004E-2</v>
      </c>
      <c r="D32" s="74">
        <f>Parametros!$B$51+Parametros!$B$52+Parametros!$B$54+Parametros!$B$55+Parametros!$B$57+Parametros!$B$58+Parametros!$B$59+Parametros!$B$60+Parametros!$B$64+Parametros!$B$61+Parametros!$B$63</f>
        <v>163</v>
      </c>
      <c r="E32" s="74">
        <f>Parametros!$C$51+Parametros!$C$52+Parametros!$C$54+Parametros!$C$55+Parametros!$C$57+Parametros!$C$58+Parametros!$C$59+Parametros!$C$60+Parametros!$C$64+Parametros!$C$61+'Parte C'!$D$15</f>
        <v>300</v>
      </c>
      <c r="F32" s="74">
        <f t="shared" si="0"/>
        <v>302.71666666666664</v>
      </c>
      <c r="G32" s="84">
        <f>(Parametros!$B$51/60*Parametros!$B$40)+(Parametros!$B$52/60*Parametros!$B$40)+(Parametros!$B$54/60*Parametros!$B$40)+(Parametros!$B$55/60*Parametros!$B$43)+(Parametros!$B$57/60*Parametros!$B$40)+Parametros!$B$46+(Parametros!$B$60/60*Parametros!$B$42)+(Parametros!$B$64/60*Parametros!$B$45)+(Parametros!$B$61/60*Parametros!$B$42)+(Parametros!$B$63/60*Parametros!$B$44)+Parametros!$B$47</f>
        <v>27271.666666666668</v>
      </c>
      <c r="H32" s="74">
        <f t="shared" si="1"/>
        <v>8.9262517575000011</v>
      </c>
      <c r="I32" s="84">
        <f t="shared" si="2"/>
        <v>804.16372575000014</v>
      </c>
      <c r="J32" s="74">
        <f t="shared" si="3"/>
        <v>4.8064054500000006</v>
      </c>
      <c r="K32" s="82" t="s">
        <v>100</v>
      </c>
      <c r="L32" s="82" t="s">
        <v>94</v>
      </c>
      <c r="M32" s="78" t="s">
        <v>90</v>
      </c>
    </row>
    <row r="33" spans="1:13" ht="15" customHeight="1" x14ac:dyDescent="0.25">
      <c r="A33" s="31">
        <v>14</v>
      </c>
      <c r="B33" s="82" t="s">
        <v>202</v>
      </c>
      <c r="C33" s="83">
        <f>Parametros!$B$68*Parametros!$B$71*Parametros!$B$73*Parametros!$B$78*Parametros!$B$76</f>
        <v>1.2637350000000004E-2</v>
      </c>
      <c r="D33" s="74">
        <f>Parametros!$B$51+Parametros!$B$52+Parametros!$B$54+Parametros!$B$55+Parametros!$B$57+Parametros!$B$58+Parametros!$B$59+Parametros!$B$60+Parametros!$B$61+Parametros!$B$63</f>
        <v>98</v>
      </c>
      <c r="E33" s="74">
        <f>Parametros!$C$51+Parametros!$C$52+Parametros!$C$54+Parametros!$C$55+Parametros!$C$57+Parametros!$C$58+Parametros!$C$59+Parametros!$C$60+Parametros!$C$61+'Parte C'!$D$15</f>
        <v>180</v>
      </c>
      <c r="F33" s="74">
        <f t="shared" si="0"/>
        <v>181.63333333333333</v>
      </c>
      <c r="G33" s="84">
        <f>(Parametros!$B$51/60*Parametros!$B$40)+(Parametros!$B$52/60*Parametros!$B$40)+(Parametros!$B$54/60*Parametros!$B$40)+(Parametros!$B$55/60*Parametros!$B$43)+(Parametros!$B$57/60*Parametros!$B$40)+Parametros!$B$46+(Parametros!$B$60/60*Parametros!$B$42)+(Parametros!$B$61/60*Parametros!$B$42)+(Parametros!$B$63/60*Parametros!$B$44)+Parametros!$B$47</f>
        <v>18171.666666666664</v>
      </c>
      <c r="H33" s="74">
        <f t="shared" si="1"/>
        <v>2.2953640050000006</v>
      </c>
      <c r="I33" s="84">
        <f t="shared" si="2"/>
        <v>229.64171175000004</v>
      </c>
      <c r="J33" s="74">
        <f t="shared" si="3"/>
        <v>1.2384603000000003</v>
      </c>
      <c r="K33" s="82" t="s">
        <v>100</v>
      </c>
      <c r="L33" s="82" t="s">
        <v>97</v>
      </c>
      <c r="M33" s="78" t="s">
        <v>90</v>
      </c>
    </row>
    <row r="34" spans="1:13" ht="15" customHeight="1" x14ac:dyDescent="0.25">
      <c r="A34" s="86"/>
      <c r="B34" s="87" t="s">
        <v>118</v>
      </c>
      <c r="C34" s="88">
        <f t="shared" ref="C34:J34" si="4">SUM(C20:C33)</f>
        <v>1</v>
      </c>
      <c r="D34" s="89">
        <f t="shared" si="4"/>
        <v>1316</v>
      </c>
      <c r="E34" s="89">
        <f t="shared" si="4"/>
        <v>1960</v>
      </c>
      <c r="F34" s="89">
        <f t="shared" si="4"/>
        <v>1981.9333333333334</v>
      </c>
      <c r="G34" s="90">
        <f t="shared" si="4"/>
        <v>204393.33333333331</v>
      </c>
      <c r="H34" s="89">
        <f t="shared" si="4"/>
        <v>107.09962111666667</v>
      </c>
      <c r="I34" s="90">
        <f t="shared" si="4"/>
        <v>11388.163346666666</v>
      </c>
      <c r="J34" s="89">
        <f t="shared" si="4"/>
        <v>72.314706999999999</v>
      </c>
      <c r="K34" s="91"/>
      <c r="L34" s="91"/>
      <c r="M34" s="92"/>
    </row>
    <row r="35" spans="1:13" ht="15" customHeight="1" x14ac:dyDescent="0.25"/>
    <row r="36" spans="1:13" ht="15" customHeight="1" x14ac:dyDescent="0.25">
      <c r="B36" s="1" t="s">
        <v>203</v>
      </c>
    </row>
    <row r="37" spans="1:13" ht="15" customHeight="1" x14ac:dyDescent="0.25">
      <c r="B37" s="69" t="s">
        <v>204</v>
      </c>
      <c r="C37" s="70" t="s">
        <v>205</v>
      </c>
      <c r="D37" s="70" t="s">
        <v>206</v>
      </c>
      <c r="E37" s="71" t="s">
        <v>207</v>
      </c>
    </row>
    <row r="38" spans="1:13" ht="15" customHeight="1" x14ac:dyDescent="0.25">
      <c r="B38" s="31" t="s">
        <v>208</v>
      </c>
      <c r="C38" s="74">
        <f>Problemas!$C$9</f>
        <v>202.48886009666668</v>
      </c>
      <c r="D38" s="74">
        <f>'Parte C'!H34</f>
        <v>107.09962111666667</v>
      </c>
      <c r="E38" s="93">
        <f>1-'Parte C'!H34/Problemas!$C$9</f>
        <v>0.47108388547627711</v>
      </c>
    </row>
    <row r="39" spans="1:13" ht="15" customHeight="1" x14ac:dyDescent="0.25">
      <c r="B39" s="31" t="s">
        <v>133</v>
      </c>
      <c r="C39" s="74">
        <f>Problemas!$C$10</f>
        <v>8.4370358373611118</v>
      </c>
      <c r="D39" s="74">
        <f>'Parte C'!H34/24</f>
        <v>4.4624842131944442</v>
      </c>
      <c r="E39" s="94">
        <f>C39-D39</f>
        <v>3.9745516241666676</v>
      </c>
    </row>
    <row r="40" spans="1:13" ht="15" customHeight="1" x14ac:dyDescent="0.25">
      <c r="B40" s="31" t="s">
        <v>135</v>
      </c>
      <c r="C40" s="74">
        <f>Problemas!$C$12</f>
        <v>1.5241384966666669</v>
      </c>
      <c r="D40" s="74">
        <f>'Parte C'!J34/60</f>
        <v>1.2052451166666667</v>
      </c>
      <c r="E40" s="94">
        <f>C40-D40</f>
        <v>0.31889338000000023</v>
      </c>
    </row>
    <row r="41" spans="1:13" ht="15" customHeight="1" x14ac:dyDescent="0.25">
      <c r="B41" s="31" t="s">
        <v>209</v>
      </c>
      <c r="C41" s="83">
        <f>Problemas!$C$13</f>
        <v>7.5270239357318443E-3</v>
      </c>
      <c r="D41" s="83">
        <f>('Parte C'!J34/60)/'Parte C'!H34</f>
        <v>1.1253495615579805E-2</v>
      </c>
      <c r="E41" s="95">
        <f>D41-C41</f>
        <v>3.7264716798479603E-3</v>
      </c>
    </row>
    <row r="42" spans="1:13" ht="15" customHeight="1" x14ac:dyDescent="0.25">
      <c r="B42" s="31" t="s">
        <v>210</v>
      </c>
      <c r="C42" s="84">
        <f>Problemas!$C$15</f>
        <v>14301.248086666663</v>
      </c>
      <c r="D42" s="84">
        <f>'Parte C'!I34</f>
        <v>11388.163346666666</v>
      </c>
      <c r="E42" s="5">
        <f>Problemas!$C$15-'Parte C'!I34</f>
        <v>2913.0847399999966</v>
      </c>
    </row>
    <row r="43" spans="1:13" ht="15" customHeight="1" x14ac:dyDescent="0.25">
      <c r="B43" s="32" t="s">
        <v>139</v>
      </c>
      <c r="C43" s="96">
        <f>Problemas!$C$16</f>
        <v>3074768.3386333324</v>
      </c>
      <c r="D43" s="96">
        <f>'Parte C'!I34*Parametros!$B$9</f>
        <v>2448455.1195333335</v>
      </c>
      <c r="E43" s="21">
        <f>Problemas!$C$16-'Parte C'!I34*Parametros!$B$9</f>
        <v>626313.21909999894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Parametros</vt:lpstr>
      <vt:lpstr>Trazas</vt:lpstr>
      <vt:lpstr>Problemas</vt:lpstr>
      <vt:lpstr>Parte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Agustin Barnils Venegas (Alumno)</cp:lastModifiedBy>
  <cp:revision>0</cp:revision>
  <dcterms:created xsi:type="dcterms:W3CDTF">2026-09-02T19:04:22Z</dcterms:created>
  <dcterms:modified xsi:type="dcterms:W3CDTF">2026-09-03T02:36:40Z</dcterms:modified>
  <dc:language>en-US</dc:language>
</cp:coreProperties>
</file>